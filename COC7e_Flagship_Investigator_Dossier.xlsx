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調查員核心檔案" sheetId="1" state="visible" r:id="rId1"/>
    <sheet xmlns:r="http://schemas.openxmlformats.org/officeDocument/2006/relationships" name="🕯️ 調查員背景與心智印記" sheetId="2" state="visible" r:id="rId2"/>
    <sheet xmlns:r="http://schemas.openxmlformats.org/officeDocument/2006/relationships" name="📈 團後成長與經歷日誌" sheetId="3" state="visible" r:id="rId3"/>
    <sheet xmlns:r="http://schemas.openxmlformats.org/officeDocument/2006/relationships" name="📚 官方核心資料庫"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DFBF7"/>
      <sz val="13"/>
    </font>
    <font>
      <name val="Microsoft JhengHei"/>
      <b val="1"/>
      <color rgb="00FDFBF7"/>
      <sz val="10"/>
    </font>
    <font>
      <name val="Microsoft JhengHei"/>
      <b val="1"/>
      <color rgb="00FDFBF7"/>
      <sz val="10.5"/>
    </font>
    <font>
      <name val="Microsoft JhengHei"/>
      <b val="1"/>
      <color rgb="00211510"/>
      <sz val="9.5"/>
    </font>
    <font>
      <name val="Microsoft JhengHei"/>
      <b val="1"/>
      <color rgb="002C1A11"/>
      <sz val="9.5"/>
    </font>
    <font>
      <name val="Microsoft JhengHei"/>
      <color rgb="00211510"/>
      <sz val="9.5"/>
    </font>
    <font>
      <name val="Microsoft JhengHei"/>
      <i val="1"/>
      <color rgb="005A4535"/>
      <sz val="8.5"/>
    </font>
  </fonts>
  <fills count="8">
    <fill>
      <patternFill/>
    </fill>
    <fill>
      <patternFill patternType="gray125"/>
    </fill>
    <fill>
      <patternFill patternType="solid">
        <fgColor rgb="002C1A11"/>
        <bgColor rgb="002C1A11"/>
      </patternFill>
    </fill>
    <fill>
      <patternFill patternType="solid">
        <fgColor rgb="004A2E18"/>
        <bgColor rgb="004A2E18"/>
      </patternFill>
    </fill>
    <fill>
      <patternFill patternType="solid">
        <fgColor rgb="00EADCC9"/>
        <bgColor rgb="00EADCC9"/>
      </patternFill>
    </fill>
    <fill>
      <patternFill patternType="solid">
        <fgColor rgb="00FFFFFF"/>
        <bgColor rgb="00FFFFFF"/>
      </patternFill>
    </fill>
    <fill>
      <patternFill patternType="solid">
        <fgColor rgb="00EFE8DC"/>
        <bgColor rgb="00EFE8DC"/>
      </patternFill>
    </fill>
    <fill>
      <patternFill patternType="solid">
        <fgColor rgb="00F7F3EB"/>
        <bgColor rgb="00F7F3EB"/>
      </patternFill>
    </fill>
  </fills>
  <borders count="6">
    <border>
      <left/>
      <right/>
      <top/>
      <bottom/>
      <diagonal/>
    </border>
    <border>
      <left style="thin">
        <color rgb="006E543C"/>
      </left>
      <right style="thin">
        <color rgb="006E543C"/>
      </right>
      <top style="thin">
        <color rgb="006E543C"/>
      </top>
      <bottom style="thin">
        <color rgb="006E543C"/>
      </bottom>
    </border>
    <border>
      <left/>
      <right/>
      <top style="thin">
        <color rgb="006E543C"/>
      </top>
      <bottom/>
      <diagonal/>
    </border>
    <border>
      <left/>
      <right style="thin">
        <color rgb="006E543C"/>
      </right>
      <top style="thin">
        <color rgb="006E543C"/>
      </top>
      <bottom/>
      <diagonal/>
    </border>
    <border>
      <left/>
      <right/>
      <top style="thin">
        <color rgb="006E543C"/>
      </top>
      <bottom style="thin">
        <color rgb="006E543C"/>
      </bottom>
      <diagonal/>
    </border>
    <border>
      <left/>
      <right style="thin">
        <color rgb="006E543C"/>
      </right>
      <top style="thin">
        <color rgb="006E543C"/>
      </top>
      <bottom style="thin">
        <color rgb="006E543C"/>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0" fillId="3" borderId="1" pivotButton="0" quotePrefix="0" xfId="0"/>
    <xf numFmtId="0" fontId="0" fillId="4" borderId="1" pivotButton="0" quotePrefix="0" xfId="0"/>
    <xf numFmtId="0" fontId="0" fillId="7" borderId="1" pivotButton="0" quotePrefix="0" xfId="0"/>
    <xf numFmtId="0" fontId="0" fillId="5" borderId="1" pivotButton="0" quotePrefix="0" xfId="0"/>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0" fillId="6" borderId="1" pivotButton="0" quotePrefix="0" xfId="0"/>
    <xf numFmtId="0" fontId="4" fillId="4" borderId="0" applyAlignment="1" pivotButton="0" quotePrefix="0" xfId="0">
      <alignment horizontal="right" vertical="center"/>
    </xf>
    <xf numFmtId="0" fontId="4" fillId="5" borderId="1" applyAlignment="1" pivotButton="0" quotePrefix="0" xfId="0">
      <alignment horizontal="left" vertical="center"/>
    </xf>
    <xf numFmtId="0" fontId="0" fillId="0" borderId="4" pivotButton="0" quotePrefix="0" xfId="0"/>
    <xf numFmtId="0" fontId="4" fillId="5" borderId="1" applyAlignment="1" pivotButton="0" quotePrefix="0" xfId="0">
      <alignment horizontal="center" vertical="center"/>
    </xf>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6" fillId="5" borderId="1" applyAlignment="1" pivotButton="0" quotePrefix="0" xfId="0">
      <alignment horizontal="center" vertical="center"/>
    </xf>
    <xf numFmtId="0" fontId="6" fillId="5" borderId="1" applyAlignment="1" pivotButton="0" quotePrefix="0" xfId="0">
      <alignment horizontal="left" vertical="center"/>
    </xf>
    <xf numFmtId="0" fontId="4" fillId="6" borderId="0" applyAlignment="1" pivotButton="0" quotePrefix="0" xfId="0">
      <alignment horizontal="center" vertical="center"/>
    </xf>
    <xf numFmtId="0" fontId="4" fillId="4" borderId="0" applyAlignment="1" pivotButton="0" quotePrefix="0" xfId="0">
      <alignment horizontal="center" vertical="center"/>
    </xf>
    <xf numFmtId="0" fontId="4" fillId="4" borderId="1" applyAlignment="1" pivotButton="0" quotePrefix="0" xfId="0">
      <alignment horizontal="center" vertical="center"/>
    </xf>
    <xf numFmtId="0" fontId="4" fillId="7" borderId="1" applyAlignment="1" pivotButton="0" quotePrefix="0" xfId="0">
      <alignment horizontal="center" vertical="center"/>
    </xf>
    <xf numFmtId="0" fontId="4" fillId="7" borderId="0" applyAlignment="1" pivotButton="0" quotePrefix="0" xfId="0">
      <alignment horizontal="left" vertical="center"/>
    </xf>
    <xf numFmtId="0" fontId="4" fillId="6" borderId="1" applyAlignment="1" pivotButton="0" quotePrefix="0" xfId="0">
      <alignment horizontal="center" vertical="center"/>
    </xf>
    <xf numFmtId="0" fontId="6" fillId="6" borderId="1" applyAlignment="1" pivotButton="0" quotePrefix="0" xfId="0">
      <alignment horizontal="center" vertical="center"/>
    </xf>
    <xf numFmtId="0" fontId="5" fillId="6" borderId="1" applyAlignment="1" pivotButton="0" quotePrefix="0" xfId="0">
      <alignment horizontal="center" vertical="center"/>
    </xf>
    <xf numFmtId="0" fontId="4" fillId="7" borderId="1" applyAlignment="1" pivotButton="0" quotePrefix="0" xfId="0">
      <alignment horizontal="left" vertical="center"/>
    </xf>
    <xf numFmtId="0" fontId="5" fillId="7" borderId="1" applyAlignment="1" pivotButton="0" quotePrefix="0" xfId="0">
      <alignment horizontal="center" vertical="center"/>
    </xf>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0" fillId="0" borderId="5" pivotButton="0" quotePrefix="0" xfId="0"/>
    <xf numFmtId="0" fontId="7" fillId="6" borderId="0" applyAlignment="1" pivotButton="0" quotePrefix="0" xfId="0">
      <alignment horizontal="center" vertical="center"/>
    </xf>
    <xf numFmtId="0" fontId="4" fillId="3" borderId="0" applyAlignment="1" pivotButton="0" quotePrefix="0" xfId="0">
      <alignment horizontal="right" vertical="center"/>
    </xf>
    <xf numFmtId="0" fontId="6" fillId="6" borderId="0" applyAlignment="1" pivotButton="0" quotePrefix="0" xfId="0">
      <alignment horizontal="center" vertical="center"/>
    </xf>
    <xf numFmtId="0" fontId="6" fillId="5" borderId="0" applyAlignment="1" pivotButton="0" quotePrefix="0" xfId="0">
      <alignment horizontal="left" vertical="center"/>
    </xf>
    <xf numFmtId="0" fontId="4" fillId="4" borderId="1" applyAlignment="1" pivotButton="0" quotePrefix="0" xfId="0">
      <alignment horizontal="left" vertical="center"/>
    </xf>
    <xf numFmtId="0" fontId="6" fillId="7" borderId="1" applyAlignment="1" pivotButton="0" quotePrefix="0" xfId="0">
      <alignment horizontal="left" vertical="center"/>
    </xf>
    <xf numFmtId="0" fontId="4" fillId="5" borderId="0" applyAlignment="1" pivotButton="0" quotePrefix="0" xfId="0">
      <alignment horizontal="left"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6" fillId="7" borderId="0" applyAlignment="1" pivotButton="0" quotePrefix="0" xfId="0">
      <alignment horizontal="center" vertical="center"/>
    </xf>
    <xf numFmtId="0" fontId="6" fillId="7" borderId="1" applyAlignment="1" pivotButton="0" quotePrefix="0" xfId="0">
      <alignment horizontal="center" vertical="center"/>
    </xf>
    <xf numFmtId="0" fontId="7" fillId="7" borderId="0" applyAlignment="1" pivotButton="0" quotePrefix="0" xfId="0">
      <alignment horizontal="left" vertical="center"/>
    </xf>
    <xf numFmtId="0" fontId="4" fillId="4" borderId="1" applyAlignment="1" pivotButton="0" quotePrefix="0" xfId="0">
      <alignment horizontal="right" vertical="center"/>
    </xf>
    <xf numFmtId="0" fontId="6" fillId="7" borderId="0" applyAlignment="1" pivotButton="0" quotePrefix="0" xfId="0">
      <alignment horizontal="left" vertical="center"/>
    </xf>
    <xf numFmtId="0" fontId="7"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75"/>
  <sheetViews>
    <sheetView showGridLines="1" workbookViewId="0">
      <selection activeCell="A1" sqref="A1"/>
    </sheetView>
  </sheetViews>
  <sheetFormatPr baseColWidth="8" defaultRowHeight="15"/>
  <cols>
    <col width="4" customWidth="1" min="1" max="1"/>
    <col width="22" customWidth="1" min="2" max="2"/>
    <col width="6.5" customWidth="1" min="3" max="3"/>
    <col width="6" customWidth="1" min="4" max="4"/>
    <col width="6" customWidth="1" min="5" max="5"/>
    <col width="6" customWidth="1" min="6" max="6"/>
    <col width="7" customWidth="1" min="7" max="7"/>
    <col width="10" customWidth="1" min="8" max="8"/>
    <col width="4" customWidth="1" min="9" max="9"/>
    <col width="22" customWidth="1" min="10" max="10"/>
    <col width="6.5" customWidth="1" min="11" max="11"/>
    <col width="6.5" customWidth="1" min="12" max="12"/>
    <col width="5" customWidth="1" min="13" max="13"/>
    <col width="9" customWidth="1" min="14" max="14"/>
    <col width="7.5" customWidth="1" min="15" max="15"/>
    <col width="10.5"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8" customHeight="1">
      <c r="A1" s="1" t="inlineStr">
        <is>
          <t>🏛️ MISKATONIC UNIVERSITY • DEPARTMENT OF SPECIAL INVESTIGATIONS</t>
        </is>
      </c>
      <c r="C1" s="2" t="n"/>
      <c r="D1" s="3" t="n"/>
      <c r="E1" s="3" t="n"/>
      <c r="F1" s="3" t="n"/>
      <c r="G1" s="3" t="n"/>
      <c r="H1" s="2" t="n"/>
      <c r="I1" s="3" t="n"/>
      <c r="J1" s="4" t="n"/>
      <c r="K1" s="4" t="n"/>
      <c r="L1" s="4" t="n"/>
      <c r="M1" s="4" t="n"/>
      <c r="N1" s="4" t="n"/>
      <c r="O1" s="4" t="n"/>
      <c r="P1" s="4" t="n"/>
      <c r="Q1" s="4" t="n"/>
      <c r="R1" s="4" t="n"/>
      <c r="S1" s="2" t="n"/>
      <c r="T1" s="2" t="n"/>
      <c r="BJ1" s="2" t="n"/>
      <c r="BK1" s="3" t="n"/>
      <c r="BL1" s="5" t="n"/>
      <c r="BM1" s="4" t="n"/>
      <c r="BN1" s="5" t="n"/>
      <c r="BO1" s="4" t="n"/>
      <c r="BP1" s="5" t="n"/>
      <c r="BQ1" s="4" t="n"/>
      <c r="BR1" s="5" t="n"/>
      <c r="BS1" s="2" t="n"/>
      <c r="BT1" s="3" t="n"/>
      <c r="BU1" s="3" t="n"/>
      <c r="BV1" s="4" t="n"/>
      <c r="BW1" s="4" t="n"/>
    </row>
    <row r="2" ht="20" customHeight="1">
      <c r="A2" s="6" t="inlineStr">
        <is>
          <t>【 阿卡姆調查局 · 機密調查員檔案 (CALL OF CTHULHU 7th EDITION DOSSIER) 】</t>
        </is>
      </c>
      <c r="C2" s="2" t="n"/>
      <c r="D2" s="3" t="n"/>
      <c r="E2" s="3" t="n"/>
      <c r="F2" s="3" t="n"/>
      <c r="G2" s="3" t="n"/>
      <c r="H2" s="2" t="n"/>
      <c r="I2" s="3" t="n"/>
      <c r="J2" s="4" t="n"/>
      <c r="K2" s="4" t="n"/>
      <c r="L2" s="4" t="n"/>
      <c r="M2" s="4" t="n"/>
      <c r="N2" s="4" t="n"/>
      <c r="O2" s="4" t="n"/>
      <c r="P2" s="4" t="n"/>
      <c r="Q2" s="4" t="n"/>
      <c r="R2" s="4" t="n"/>
      <c r="S2" s="2" t="n"/>
      <c r="T2" s="2" t="n"/>
      <c r="BJ2" s="2" t="n"/>
      <c r="BK2" s="3" t="n"/>
      <c r="BL2" s="5" t="n"/>
      <c r="BM2" s="4" t="n"/>
      <c r="BN2" s="5" t="n"/>
      <c r="BO2" s="4" t="n"/>
      <c r="BP2" s="5" t="n"/>
      <c r="BQ2" s="4" t="n"/>
      <c r="BR2" s="5" t="n"/>
      <c r="BS2" s="2" t="n"/>
      <c r="BT2" s="3" t="n"/>
      <c r="BU2" s="3" t="n"/>
      <c r="BV2" s="4" t="n"/>
      <c r="BW2" s="4" t="n"/>
    </row>
    <row r="3" ht="22" customHeight="1">
      <c r="A3" s="7" t="inlineStr">
        <is>
          <t>📜 調查員基本身份檔案 (Investigator Profile)</t>
        </is>
      </c>
      <c r="C3" s="2" t="n"/>
      <c r="D3" s="5" t="n"/>
      <c r="F3" s="5" t="n"/>
      <c r="G3" s="5" t="n"/>
      <c r="H3" s="2" t="n"/>
      <c r="I3" s="7" t="inlineStr">
        <is>
          <t>📊 點數配置儀表板 (Skill &amp; Attribute Dashboard)</t>
        </is>
      </c>
      <c r="S3" s="8" t="n"/>
      <c r="T3" s="2" t="n"/>
      <c r="BJ3" s="2" t="n"/>
      <c r="BK3" s="3" t="n"/>
      <c r="BL3" s="5" t="n"/>
      <c r="BM3" s="4" t="n"/>
      <c r="BN3" s="5" t="n"/>
      <c r="BO3" s="4" t="n"/>
      <c r="BP3" s="5" t="n"/>
      <c r="BQ3" s="4" t="n"/>
      <c r="BR3" s="5" t="n"/>
      <c r="BS3" s="2" t="n"/>
      <c r="BU3" s="8" t="n"/>
      <c r="BV3" s="4" t="n"/>
      <c r="BW3" s="4" t="n"/>
    </row>
    <row r="4" ht="22" customHeight="1">
      <c r="A4" s="9" t="inlineStr">
        <is>
          <t>姓名 (PC Name):</t>
        </is>
      </c>
      <c r="C4" s="10" t="inlineStr">
        <is>
          <t>艾德華·皮爾斯 (Edward Pierce)</t>
        </is>
      </c>
      <c r="D4" s="5" t="n"/>
      <c r="E4" s="11" t="n"/>
      <c r="F4" s="5" t="n"/>
      <c r="G4" s="12" t="inlineStr">
        <is>
          <t>玩家: 調查員</t>
        </is>
      </c>
      <c r="H4" s="2" t="n"/>
      <c r="I4" s="9" t="inlineStr">
        <is>
          <t>創角模式 (Method):</t>
        </is>
      </c>
      <c r="K4" s="13" t="inlineStr">
        <is>
          <t>480點分配法 (Companion)</t>
        </is>
      </c>
      <c r="N4" s="14">
        <f>SUM(E10:E17)&amp;" / 480 點 ("&amp;IF(SUM(E10:E17)=480,"合規✔",IF(SUM(E10:E17)&lt;480,"剩餘 "&amp;(480-SUM(E10:E17))&amp;" 點","超額 "&amp;(SUM(E10:E17)-480)&amp;" 點⚠"))&amp;")"</f>
        <v/>
      </c>
      <c r="S4" s="8" t="n"/>
      <c r="T4" s="2" t="n"/>
      <c r="BJ4" s="2" t="n"/>
      <c r="BK4" s="3" t="n"/>
      <c r="BL4" s="5" t="n"/>
      <c r="BM4" s="4" t="n"/>
      <c r="BN4" s="5" t="n"/>
      <c r="BO4" s="4" t="n"/>
      <c r="BP4" s="5" t="n"/>
      <c r="BQ4" s="4" t="n"/>
      <c r="BR4" s="5" t="n"/>
      <c r="BS4" s="2" t="n"/>
      <c r="BT4" s="3" t="n"/>
      <c r="BU4" s="8" t="n"/>
      <c r="BV4" s="4" t="n"/>
      <c r="BW4" s="4" t="n"/>
    </row>
    <row r="5" ht="22" customHeight="1">
      <c r="A5" s="9" t="inlineStr">
        <is>
          <t>年齡 / 性別 / 時代:</t>
        </is>
      </c>
      <c r="C5" s="12" t="n">
        <v>34</v>
      </c>
      <c r="D5" s="15" t="inlineStr">
        <is>
          <t>男</t>
        </is>
      </c>
      <c r="E5" s="15" t="inlineStr">
        <is>
          <t>1920s</t>
        </is>
      </c>
      <c r="F5" s="15" t="inlineStr">
        <is>
          <t>退伍軍人 / 私家偵探</t>
        </is>
      </c>
      <c r="G5" s="5" t="n"/>
      <c r="H5" s="2" t="n"/>
      <c r="I5" s="9" t="inlineStr">
        <is>
          <t>調查員職業 (Job):</t>
        </is>
      </c>
      <c r="K5" s="13" t="inlineStr">
        <is>
          <t>私家偵探</t>
        </is>
      </c>
      <c r="N5" s="14">
        <f>IFERROR(VLOOKUP(K5, '📚 官方核心資料庫'!C:F, 2, FALSE), "EDU*2+(STR or DEX)*2")</f>
        <v/>
      </c>
      <c r="S5" s="8" t="n"/>
      <c r="T5" s="2" t="n"/>
      <c r="BJ5" s="2" t="n"/>
      <c r="BS5" s="2" t="n"/>
      <c r="BT5" s="3" t="n"/>
      <c r="BU5" s="8" t="n"/>
      <c r="BV5" s="4" t="n"/>
      <c r="BW5" s="4" t="n"/>
    </row>
    <row r="6" ht="22" customHeight="1">
      <c r="A6" s="9" t="inlineStr">
        <is>
          <t>出生地 / 現居地:</t>
        </is>
      </c>
      <c r="C6" s="16" t="inlineStr">
        <is>
          <t>麻薩諸塞州 波士頓  /  現居阿卡姆市 浸信會街42號 (皮爾斯偵探事務所)</t>
        </is>
      </c>
      <c r="D6" s="11" t="n"/>
      <c r="E6" s="11" t="n"/>
      <c r="F6" s="5" t="n"/>
      <c r="G6" s="5" t="n"/>
      <c r="H6" s="2" t="n"/>
      <c r="I6" s="9" t="inlineStr">
        <is>
          <t>本職點 (總/餘):</t>
        </is>
      </c>
      <c r="K6" s="17">
        <f>260 &amp; "  /  剩: " &amp; (260 - SUM(D22:D61) - SUM(L22:L61))</f>
        <v/>
      </c>
      <c r="M6" s="9" t="inlineStr">
        <is>
          <t>個人興趣點 (總/餘):</t>
        </is>
      </c>
      <c r="O6" s="17">
        <f>(E15*2) &amp; "  /  剩: " &amp; (E15*2 - SUM(E22:E61) - SUM(M22:M61))</f>
        <v/>
      </c>
      <c r="S6" s="8" t="n"/>
      <c r="T6" s="2" t="n"/>
      <c r="BJ6" s="2" t="n"/>
      <c r="BK6" s="3" t="n"/>
      <c r="BL6" s="8" t="n"/>
      <c r="BM6" s="8" t="n"/>
      <c r="BN6" s="8" t="n"/>
      <c r="BO6" s="8" t="n"/>
      <c r="BP6" s="8" t="n"/>
      <c r="BQ6" s="8" t="n"/>
      <c r="BR6" s="8" t="n"/>
      <c r="BS6" s="2" t="n"/>
      <c r="BU6" s="8" t="n"/>
      <c r="BV6" s="4" t="n"/>
      <c r="BW6" s="4" t="n"/>
    </row>
    <row r="7" ht="22" customHeight="1">
      <c r="A7" s="9" t="inlineStr">
        <is>
          <t>外貌特徵描述:</t>
        </is>
      </c>
      <c r="C7" s="16" t="inlineStr">
        <is>
          <t>身材結實勻稱，神情警覺沉穩。常穿深灰色雙排扣風衣與呢帽，配戴皮革槍套與速記本。</t>
        </is>
      </c>
      <c r="D7" s="11" t="n"/>
      <c r="E7" s="11" t="n"/>
      <c r="F7" s="11" t="n"/>
      <c r="G7" s="5" t="n"/>
      <c r="H7" s="2" t="n"/>
      <c r="I7" s="9" t="inlineStr">
        <is>
          <t>當前信用評級 (CR):</t>
        </is>
      </c>
      <c r="K7" s="17">
        <f>G22 &amp; " % (建議 " &amp; IFERROR(VLOOKUP(K5, '📚 官方核心資料庫'!C:F, 3, FALSE), "9~30") &amp; ")"</f>
        <v/>
      </c>
      <c r="M7" s="17">
        <f>IF(G22=0, "請填寫CR ⚠", IF(AND(G22&gt;=9, G22&lt;=30), "CR合規 ✔ (普通中產階層)", IF(G22&lt;9, "低於職業下限 ⚠", "高於職業上限 ⚠")))</f>
        <v/>
      </c>
      <c r="S7" s="8" t="n"/>
      <c r="T7" s="2" t="n"/>
      <c r="BJ7" s="2" t="n"/>
      <c r="BK7" s="3" t="n"/>
      <c r="BL7" s="8" t="n"/>
      <c r="BM7" s="8" t="n"/>
      <c r="BN7" s="8" t="n"/>
      <c r="BO7" s="8" t="n"/>
      <c r="BP7" s="8" t="n"/>
      <c r="BQ7" s="8" t="n"/>
      <c r="BR7" s="8" t="n"/>
      <c r="BS7" s="2" t="n"/>
      <c r="BU7" s="8" t="n"/>
      <c r="BV7" s="4" t="n"/>
      <c r="BW7" s="4" t="n"/>
    </row>
    <row r="8" ht="22" customHeight="1">
      <c r="A8" s="7" t="inlineStr">
        <is>
          <t>⚖️ 九大基礎特徵值 (Nine Characteristics - Core &amp; Companion)</t>
        </is>
      </c>
      <c r="H8" s="2" t="n"/>
      <c r="I8" s="7" t="inlineStr">
        <is>
          <t>🩺 生理狀態與心智監控儀表 (Vitals &amp; Sanity Monitor - Companion Revised)</t>
        </is>
      </c>
      <c r="S8" s="8" t="n"/>
      <c r="T8" s="2" t="n"/>
      <c r="BJ8" s="2" t="n"/>
      <c r="BS8" s="2" t="n"/>
      <c r="BU8" s="8" t="n"/>
      <c r="BV8" s="4" t="n"/>
      <c r="BW8" s="4" t="n"/>
    </row>
    <row r="9" ht="20" customHeight="1">
      <c r="A9" s="18" t="inlineStr">
        <is>
          <t>特徵代號與名稱</t>
        </is>
      </c>
      <c r="C9" s="19" t="inlineStr">
        <is>
          <t>基礎值</t>
        </is>
      </c>
      <c r="D9" s="19" t="inlineStr">
        <is>
          <t>年齡調整</t>
        </is>
      </c>
      <c r="E9" s="19" t="inlineStr">
        <is>
          <t>最終值</t>
        </is>
      </c>
      <c r="F9" s="19" t="inlineStr">
        <is>
          <t>困難 1/2</t>
        </is>
      </c>
      <c r="G9" s="19" t="inlineStr">
        <is>
          <t>極限 1/5</t>
        </is>
      </c>
      <c r="H9" s="19" t="inlineStr">
        <is>
          <t>判定範圍</t>
        </is>
      </c>
      <c r="I9" s="19" t="inlineStr">
        <is>
          <t>監控項目與指標</t>
        </is>
      </c>
      <c r="J9" s="4" t="n"/>
      <c r="K9" s="20" t="inlineStr">
        <is>
          <t>當前值</t>
        </is>
      </c>
      <c r="L9" s="20" t="inlineStr">
        <is>
          <t>上限</t>
        </is>
      </c>
      <c r="M9" s="20" t="inlineStr">
        <is>
          <t>標記</t>
        </is>
      </c>
      <c r="N9" s="20" t="inlineStr">
        <is>
          <t>臨界線</t>
        </is>
      </c>
      <c r="O9" s="20" t="inlineStr">
        <is>
          <t>即時綜合狀態判定 (純公式雙向連動)</t>
        </is>
      </c>
      <c r="P9" s="4" t="n"/>
      <c r="Q9" s="4" t="n"/>
      <c r="R9" s="4" t="n"/>
      <c r="S9" s="5" t="n"/>
      <c r="T9" s="2" t="n"/>
      <c r="BJ9" s="2" t="n"/>
      <c r="BK9" s="3" t="n"/>
      <c r="BL9" s="5" t="n"/>
      <c r="BM9" s="4" t="n"/>
      <c r="BN9" s="5" t="n"/>
      <c r="BO9" s="4" t="n"/>
      <c r="BP9" s="5" t="n"/>
      <c r="BQ9" s="4" t="n"/>
      <c r="BR9" s="5" t="n"/>
      <c r="BS9" s="2" t="n"/>
      <c r="BT9" s="5" t="n"/>
      <c r="BU9" s="4" t="n"/>
      <c r="BV9" s="5" t="n"/>
      <c r="BW9" s="4" t="n"/>
    </row>
    <row r="10" ht="22" customHeight="1">
      <c r="A10" s="21" t="inlineStr">
        <is>
          <t>STR 力量 (Strength)</t>
        </is>
      </c>
      <c r="C10" s="15" t="n">
        <v>60</v>
      </c>
      <c r="D10" s="15" t="n">
        <v>0</v>
      </c>
      <c r="E10" s="22">
        <f>C10+D10</f>
        <v/>
      </c>
      <c r="F10" s="23">
        <f>INT(E10/2)</f>
        <v/>
      </c>
      <c r="G10" s="23">
        <f>INT(E10/5)</f>
        <v/>
      </c>
      <c r="H10" s="24">
        <f>E10&amp;" ("&amp;F10&amp;"/"&amp;G10&amp;")"</f>
        <v/>
      </c>
      <c r="I10" s="25" t="inlineStr">
        <is>
          <t>❤️ 生命值 (Hit Points)</t>
        </is>
      </c>
      <c r="J10" s="4" t="n"/>
      <c r="K10" s="20" t="n">
        <v>11</v>
      </c>
      <c r="L10" s="26">
        <f>INT((E11+E16)/10)</f>
        <v/>
      </c>
      <c r="M10" s="20" t="n"/>
      <c r="N10" s="20">
        <f>"重傷: " &amp; INT(L10/2) &amp; "點"</f>
        <v/>
      </c>
      <c r="O10" s="20">
        <f>IF(K10&lt;=-L10, "💀 瞬間致死 (Instant Death)", IF(AND(K10&lt;=0, OR(M10=TRUE, M10="☑")), "⚠️ 瀕死 (Dying · 每輪CON檢定)", IF(K10&lt;=0, "💤 昏迷 (Unconscious · 1小時甦醒)", IF(OR(M10=TRUE, M10="☑"), "🩹 重傷受創 (Major Wound · 休養每週恢復)", IF(K10&lt;L10, "🤕 輕傷微恙 (Minor · 每日自然恢復1點)", "💚 健康健全 (Healthy)")))))</f>
        <v/>
      </c>
      <c r="P10" s="4" t="n"/>
      <c r="Q10" s="4" t="n"/>
      <c r="R10" s="4" t="n"/>
      <c r="S10" s="5" t="n"/>
      <c r="T10" s="2" t="n"/>
      <c r="BJ10" s="2" t="n"/>
      <c r="BK10" s="3" t="n"/>
      <c r="BL10" s="5" t="n"/>
      <c r="BM10" s="4" t="n"/>
      <c r="BN10" s="5" t="n"/>
      <c r="BO10" s="4" t="n"/>
      <c r="BP10" s="5" t="n"/>
      <c r="BQ10" s="4" t="n"/>
      <c r="BR10" s="5" t="n"/>
      <c r="BS10" s="2" t="n"/>
      <c r="BT10" s="5" t="n"/>
      <c r="BU10" s="4" t="n"/>
      <c r="BV10" s="5" t="n"/>
      <c r="BW10" s="4" t="n"/>
    </row>
    <row r="11" ht="22" customHeight="1">
      <c r="A11" s="21" t="inlineStr">
        <is>
          <t>CON 體質 (Constitution)</t>
        </is>
      </c>
      <c r="C11" s="15" t="n">
        <v>55</v>
      </c>
      <c r="D11" s="15" t="n">
        <v>0</v>
      </c>
      <c r="E11" s="22">
        <f>C11+D11</f>
        <v/>
      </c>
      <c r="F11" s="23">
        <f>INT(E11/2)</f>
        <v/>
      </c>
      <c r="G11" s="23">
        <f>INT(E11/5)</f>
        <v/>
      </c>
      <c r="H11" s="24">
        <f>E11&amp;" ("&amp;F11&amp;"/"&amp;G11&amp;")"</f>
        <v/>
      </c>
      <c r="I11" s="21" t="inlineStr">
        <is>
          <t>✨ 魔法值 (Magic Points)</t>
        </is>
      </c>
      <c r="K11" s="12" t="n">
        <v>12</v>
      </c>
      <c r="L11" s="24">
        <f>INT(E14/5)</f>
        <v/>
      </c>
      <c r="M11" s="23" t="inlineStr">
        <is>
          <t>-</t>
        </is>
      </c>
      <c r="N11" s="27" t="inlineStr">
        <is>
          <t>每小時+1點</t>
        </is>
      </c>
      <c r="O11" s="12">
        <f>IF(K11&lt;=0, "⚠️ 枯竭 (耗盡! 再消耗將扣減HP)", IF(K11&lt;L11, "⏳ 充能中 (" &amp; K11 &amp; "/" &amp; L11 &amp; " · 自然恢復中)", "✨ 充盈健全 (滿額)"))</f>
        <v/>
      </c>
      <c r="S11" s="5" t="n"/>
      <c r="T11" s="2" t="n"/>
      <c r="BJ11" s="2" t="n"/>
      <c r="BS11" s="2" t="n"/>
      <c r="BT11" s="5" t="n"/>
      <c r="BU11" s="4" t="n"/>
      <c r="BV11" s="5" t="n"/>
      <c r="BW11" s="4" t="n"/>
    </row>
    <row r="12" ht="22" customHeight="1">
      <c r="A12" s="21" t="inlineStr">
        <is>
          <t>DEX 敏捷 (Dexterity)</t>
        </is>
      </c>
      <c r="C12" s="15" t="n">
        <v>70</v>
      </c>
      <c r="D12" s="15" t="n">
        <v>0</v>
      </c>
      <c r="E12" s="22">
        <f>C12+D12</f>
        <v/>
      </c>
      <c r="F12" s="23">
        <f>INT(E12/2)</f>
        <v/>
      </c>
      <c r="G12" s="23">
        <f>INT(E12/5)</f>
        <v/>
      </c>
      <c r="H12" s="24">
        <f>E12&amp;" ("&amp;F12&amp;"/"&amp;G12&amp;")"</f>
        <v/>
      </c>
      <c r="I12" s="21" t="inlineStr">
        <is>
          <t>🧠 當前理智 (Sanity)</t>
        </is>
      </c>
      <c r="K12" s="12" t="n">
        <v>60</v>
      </c>
      <c r="L12" s="24">
        <f>E14</f>
        <v/>
      </c>
      <c r="M12" s="12" t="n"/>
      <c r="N12" s="19">
        <f>"上限: " &amp; (99-O22)</f>
        <v/>
      </c>
      <c r="O12" s="12">
        <f>IF(K12&lt;=0, "💀 永久瘋狂 (SAN歸零 · 角色退場)", IF(OR(M14=TRUE, M14="☑"), "🌀 心智質變中 (Changed · 幸運凍結)", IF(OR(M13=TRUE, M13="☑"), "⚡ 震懾餘波中 (Aftershock · 易生幻覺)", IF(K12&lt;L12, "⚠️ 理智受損 (損耗 " &amp; (L12-K12) &amp; " 點)", "🧠 心智健全 (Sane)"))))</f>
        <v/>
      </c>
      <c r="S12" s="5" t="n"/>
      <c r="T12" s="2" t="n"/>
      <c r="BJ12" s="2" t="n"/>
      <c r="BS12" s="2" t="n"/>
      <c r="BT12" s="5" t="n"/>
      <c r="BU12" s="4" t="n"/>
      <c r="BV12" s="5" t="n"/>
      <c r="BW12" s="4" t="n"/>
    </row>
    <row r="13" ht="22" customHeight="1">
      <c r="A13" s="21" t="inlineStr">
        <is>
          <t>APP 外貌 (Appearance)</t>
        </is>
      </c>
      <c r="C13" s="15" t="n">
        <v>45</v>
      </c>
      <c r="D13" s="15" t="n">
        <v>0</v>
      </c>
      <c r="E13" s="22">
        <f>C13+D13</f>
        <v/>
      </c>
      <c r="F13" s="23">
        <f>INT(E13/2)</f>
        <v/>
      </c>
      <c r="G13" s="23">
        <f>INT(E13/5)</f>
        <v/>
      </c>
      <c r="H13" s="24">
        <f>E13&amp;" ("&amp;F13&amp;"/"&amp;G13&amp;")"</f>
        <v/>
      </c>
      <c r="I13" s="21" t="inlineStr">
        <is>
          <t>⚡ 震懾狀態 (Shock · 5F)</t>
        </is>
      </c>
      <c r="K13" s="24">
        <f>IF(OR(M14=TRUE, M14="☑"), 10, 5)</f>
        <v/>
      </c>
      <c r="L13" s="28" t="inlineStr">
        <is>
          <t>1D10輪</t>
        </is>
      </c>
      <c r="M13" s="12" t="n"/>
      <c r="N13" s="19">
        <f>"單次≥" &amp; K13 &amp; "點"</f>
        <v/>
      </c>
      <c r="O13" s="19">
        <f>IF(OR(M13=TRUE, M13="☑"), "⚡ 震懾餘波 (易受幻覺 · 可由安撫解除)", "心神平穩 (無震懾)")</f>
        <v/>
      </c>
      <c r="P13" s="3" t="n"/>
      <c r="Q13" s="3" t="n"/>
      <c r="R13" s="3" t="n"/>
      <c r="S13" s="5" t="n"/>
      <c r="T13" s="2" t="n"/>
      <c r="BJ13" s="2" t="n"/>
      <c r="BS13" s="2" t="n"/>
      <c r="BT13" s="5" t="n"/>
      <c r="BU13" s="4" t="n"/>
      <c r="BV13" s="5" t="n"/>
      <c r="BW13" s="4" t="n"/>
    </row>
    <row r="14" ht="22" customHeight="1">
      <c r="A14" s="21" t="inlineStr">
        <is>
          <t>POW 意志 (Power)</t>
        </is>
      </c>
      <c r="C14" s="15" t="n">
        <v>60</v>
      </c>
      <c r="D14" s="15" t="n">
        <v>0</v>
      </c>
      <c r="E14" s="22">
        <f>C14+D14</f>
        <v/>
      </c>
      <c r="F14" s="23">
        <f>INT(E14/2)</f>
        <v/>
      </c>
      <c r="G14" s="23">
        <f>INT(E14/5)</f>
        <v/>
      </c>
      <c r="H14" s="24">
        <f>E14&amp;" ("&amp;F14&amp;"/"&amp;G14&amp;")"</f>
        <v/>
      </c>
      <c r="I14" s="21" t="inlineStr">
        <is>
          <t>🌀 心智質變 (Changed)</t>
        </is>
      </c>
      <c r="K14" s="24">
        <f>INT(E14/5)</f>
        <v/>
      </c>
      <c r="L14" s="28" t="inlineStr">
        <is>
          <t>單日累積</t>
        </is>
      </c>
      <c r="M14" s="12" t="n"/>
      <c r="N14" s="19">
        <f>"質變: " &amp; INT(E14/5) &amp; "點"</f>
        <v/>
      </c>
      <c r="O14" s="19">
        <f>IF(OR(M14=TRUE, M14="☑"), "🌀 心智質變 (幸運凍結 · 需改寫背景解質變)", "思想正常 (未質變)")</f>
        <v/>
      </c>
      <c r="P14" s="3" t="n"/>
      <c r="Q14" s="3" t="n"/>
      <c r="R14" s="3" t="n"/>
      <c r="S14" s="5" t="n"/>
      <c r="T14" s="2" t="n"/>
      <c r="BJ14" s="2" t="n"/>
      <c r="BS14" s="2" t="n"/>
      <c r="BT14" s="5" t="n"/>
      <c r="BU14" s="4" t="n"/>
      <c r="BV14" s="5" t="n"/>
      <c r="BW14" s="4" t="n"/>
    </row>
    <row r="15" ht="22" customHeight="1">
      <c r="A15" s="21" t="inlineStr">
        <is>
          <t>INT 智力/靈感 (Idea)</t>
        </is>
      </c>
      <c r="C15" s="15" t="n">
        <v>75</v>
      </c>
      <c r="D15" s="15" t="n">
        <v>0</v>
      </c>
      <c r="E15" s="22">
        <f>C15+D15</f>
        <v/>
      </c>
      <c r="F15" s="23">
        <f>INT(E15/2)</f>
        <v/>
      </c>
      <c r="G15" s="23">
        <f>INT(E15/5)</f>
        <v/>
      </c>
      <c r="H15" s="24">
        <f>E15&amp;" ("&amp;F15&amp;"/"&amp;G15&amp;")"</f>
        <v/>
      </c>
      <c r="I15" s="25" t="inlineStr">
        <is>
          <t>💥 5F 應激反應 (Acute Panic)</t>
        </is>
      </c>
      <c r="J15" s="29" t="n"/>
      <c r="K15" s="12" t="inlineStr">
        <is>
          <t>無 (健全)</t>
        </is>
      </c>
      <c r="L15" s="29" t="n"/>
      <c r="M15" s="27" t="inlineStr">
        <is>
          <t>持續 1D10 輪</t>
        </is>
      </c>
      <c r="N15" s="29" t="n"/>
      <c r="O15" s="23">
        <f>IF(AND(M13&lt;&gt;TRUE, M13&lt;&gt;"☑"), "心神平穩，無恐慌應激行為", IF(K15="討好 (Fawn)", "討好: 卑躬屈膝企圖安撫討好威脅者", IF(K15="戰鬥 (Fight)", "戰鬥: 狂怒襲擊眼前任何可疑事物", IF(K15="逃跑 (Flight)", "逃跑: 不顧一切瘋狂逃離恐懼現場", IF(K15="虛脫 (Flop)", "虛脫: 昏厥或全身虛脫無力癱倒在地", IF(K15="僵直 (Freeze)", "僵直: 目瞪口呆無法動彈、說話或思考", "處於震懾中，請在左欄選擇 5F 反應"))))))</f>
        <v/>
      </c>
      <c r="P15" s="8" t="n"/>
      <c r="Q15" s="8" t="n"/>
      <c r="R15" s="8" t="n"/>
      <c r="S15" s="5" t="n"/>
      <c r="T15" s="2" t="n"/>
      <c r="BJ15" s="2" t="n"/>
      <c r="BK15" s="3" t="n"/>
      <c r="BL15" s="5" t="n"/>
      <c r="BM15" s="4" t="n"/>
      <c r="BN15" s="5" t="n"/>
      <c r="BO15" s="4" t="n"/>
      <c r="BP15" s="5" t="n"/>
      <c r="BQ15" s="4" t="n"/>
      <c r="BR15" s="5" t="n"/>
      <c r="BS15" s="2" t="n"/>
      <c r="BT15" s="5" t="n"/>
      <c r="BU15" s="4" t="n"/>
      <c r="BV15" s="5" t="n"/>
      <c r="BW15" s="4" t="n"/>
    </row>
    <row r="16" ht="22" customHeight="1">
      <c r="A16" s="21" t="inlineStr">
        <is>
          <t>SIZ 體型 (Size)</t>
        </is>
      </c>
      <c r="C16" s="15" t="n">
        <v>55</v>
      </c>
      <c r="D16" s="15" t="n">
        <v>0</v>
      </c>
      <c r="E16" s="22">
        <f>C16+D16</f>
        <v/>
      </c>
      <c r="F16" s="23">
        <f>INT(E16/2)</f>
        <v/>
      </c>
      <c r="G16" s="23">
        <f>INT(E16/5)</f>
        <v/>
      </c>
      <c r="H16" s="24">
        <f>E16&amp;" ("&amp;F16&amp;"/"&amp;G16&amp;")"</f>
        <v/>
      </c>
      <c r="I16" s="25" t="inlineStr">
        <is>
          <t>🥊 傷害加值 (DB) / 體格</t>
        </is>
      </c>
      <c r="J16" s="29" t="n"/>
      <c r="K16" s="24">
        <f>IF(E10+E16&lt;65,"-2",IF(E10+E16&lt;85,"-1",IF(E10+E16&lt;125,"0",IF(E10+E16&lt;165,"+1D4",IF(E10+E16&lt;205,"+1D6",IF(E10+E16&lt;285,"+2D6","+3D6"))))))</f>
        <v/>
      </c>
      <c r="L16" s="22">
        <f>IF(E10+E16&lt;65,-2,IF(E10+E16&lt;85,-1,IF(E10+E16&lt;125,0,IF(E10+E16&lt;165,1,IF(E10+E16&lt;205,2,IF(E10+E16&lt;285,3,4))))))</f>
        <v/>
      </c>
      <c r="M16" s="19">
        <f>"STR+SIZ: " &amp; (E10+E16)</f>
        <v/>
      </c>
      <c r="N16" s="29" t="n"/>
      <c r="O16" s="28">
        <f>IF(L16&lt;0,"身材矮小弱勢",IF(L16=0,"普通人標準體格",IF(L16=1,"魁梧健碩體格",IF(L16=2,"極其強壯彪悍","超乎常人之龐大"))))</f>
        <v/>
      </c>
      <c r="P16" s="8" t="n"/>
      <c r="Q16" s="8" t="n"/>
      <c r="R16" s="8" t="n"/>
      <c r="S16" s="5" t="n"/>
      <c r="T16" s="2" t="n"/>
      <c r="BJ16" s="2" t="n"/>
      <c r="BK16" s="3" t="n"/>
      <c r="BL16" s="5" t="n"/>
      <c r="BM16" s="4" t="n"/>
      <c r="BN16" s="5" t="n"/>
      <c r="BO16" s="4" t="n"/>
      <c r="BP16" s="5" t="n"/>
      <c r="BQ16" s="4" t="n"/>
      <c r="BR16" s="5" t="n"/>
      <c r="BS16" s="2" t="n"/>
      <c r="BT16" s="5" t="n"/>
      <c r="BU16" s="4" t="n"/>
      <c r="BV16" s="5" t="n"/>
      <c r="BW16" s="4" t="n"/>
    </row>
    <row r="17" ht="22" customHeight="1">
      <c r="A17" s="21" t="inlineStr">
        <is>
          <t>EDU 教育 (Education)</t>
        </is>
      </c>
      <c r="C17" s="15" t="n">
        <v>60</v>
      </c>
      <c r="D17" s="15" t="n">
        <v>0</v>
      </c>
      <c r="E17" s="22">
        <f>C17+D17</f>
        <v/>
      </c>
      <c r="F17" s="23">
        <f>INT(E17/2)</f>
        <v/>
      </c>
      <c r="G17" s="23">
        <f>INT(E17/5)</f>
        <v/>
      </c>
      <c r="H17" s="24">
        <f>E17&amp;" ("&amp;F17&amp;"/"&amp;G17&amp;")"</f>
        <v/>
      </c>
      <c r="I17" s="21" t="inlineStr">
        <is>
          <t>🏃 移動力 (MOV) / 戰鬥 MvP</t>
        </is>
      </c>
      <c r="K17" s="24">
        <f>MAX(1, IF(AND(E10&lt;E16, E12&lt;E16), 7, IF(AND(E10&gt;E16, E12&gt;E16), 9, 8)) - IF(C5&lt;40, 0, IF(C5&lt;50, 1, IF(C5&lt;60, 2, IF(C5&lt;70, 3, IF(C5&lt;80, 4, 5))))))</f>
        <v/>
      </c>
      <c r="L17" s="22">
        <f>K17</f>
        <v/>
      </c>
      <c r="M17" s="18" t="inlineStr">
        <is>
          <t>戰鬥行動點 (MvP)</t>
        </is>
      </c>
      <c r="O17" s="30">
        <f>"每輪可行進 " &amp; (K17*5) &amp; " 步 (或 " &amp; K17 &amp; " 碼)"</f>
        <v/>
      </c>
    </row>
    <row r="18" ht="22" customHeight="1">
      <c r="A18" s="21" t="inlineStr">
        <is>
          <t>LUCK 幸運 (Luck)</t>
        </is>
      </c>
      <c r="C18" s="15" t="n">
        <v>55</v>
      </c>
      <c r="D18" s="15" t="n">
        <v>0</v>
      </c>
      <c r="E18" s="22">
        <f>C18+D18</f>
        <v/>
      </c>
      <c r="F18" s="23" t="inlineStr">
        <is>
          <t>-</t>
        </is>
      </c>
      <c r="G18" s="23" t="inlineStr">
        <is>
          <t>-</t>
        </is>
      </c>
      <c r="H18" s="28" t="inlineStr">
        <is>
          <t>無半值/極限</t>
        </is>
      </c>
      <c r="I18" s="21" t="inlineStr">
        <is>
          <t>🤝 同伴安撫 / 精神錨點</t>
        </is>
      </c>
      <c r="K18" s="24">
        <f>INT(E13/5)</f>
        <v/>
      </c>
      <c r="L18" s="28" t="inlineStr">
        <is>
          <t>本劇本限1次</t>
        </is>
      </c>
      <c r="M18" s="18" t="inlineStr">
        <is>
          <t>精神錨點休整</t>
        </is>
      </c>
      <c r="O18" s="30" t="inlineStr">
        <is>
          <t>團間與精神錨點互動可恢復 1D6 SAN</t>
        </is>
      </c>
    </row>
    <row r="19" ht="22" customHeight="1">
      <c r="A19" s="31" t="inlineStr">
        <is>
          <t>💰 社會階層與經濟狀況:</t>
        </is>
      </c>
      <c r="C19" s="32" t="inlineStr">
        <is>
          <t>消費水準: $10 (免記帳)</t>
        </is>
      </c>
      <c r="E19" s="32" t="inlineStr">
        <is>
          <t>隨身現金: $50</t>
        </is>
      </c>
      <c r="G19" s="32" t="inlineStr">
        <is>
          <t>資產總額: $1,250</t>
        </is>
      </c>
      <c r="I19" s="33" t="inlineStr">
        <is>
          <t>資產明細: 浸信會街二樓偵探事務所租約、老舊雪佛蘭四門轎車、阿卡姆商業銀行私人活存帳戶</t>
        </is>
      </c>
    </row>
    <row r="20" ht="22" customHeight="1">
      <c r="A20" s="7" t="inlineStr">
        <is>
          <t>📖 調查員官方技能樹 (左列 · 交際 / 運動 / 技術 / 戰鬥 / 自訂專精)</t>
        </is>
      </c>
      <c r="I20" s="7" t="inlineStr">
        <is>
          <t>📖 調查員官方技能樹 (右列 · 感知 / 學術 / 科學 / 語言 / 神秘 / 自訂專精)</t>
        </is>
      </c>
    </row>
    <row r="21" ht="20" customHeight="1">
      <c r="A21" s="19" t="inlineStr">
        <is>
          <t>成長</t>
        </is>
      </c>
      <c r="B21" s="34" t="inlineStr">
        <is>
          <t>技能名稱 (左列)</t>
        </is>
      </c>
      <c r="C21" s="19" t="inlineStr">
        <is>
          <t>初始</t>
        </is>
      </c>
      <c r="D21" s="19" t="inlineStr">
        <is>
          <t>本職</t>
        </is>
      </c>
      <c r="E21" s="19" t="inlineStr">
        <is>
          <t>興趣</t>
        </is>
      </c>
      <c r="F21" s="19" t="inlineStr">
        <is>
          <t>成長</t>
        </is>
      </c>
      <c r="G21" s="19" t="inlineStr">
        <is>
          <t>總值</t>
        </is>
      </c>
      <c r="H21" s="19" t="inlineStr">
        <is>
          <t>困難|極限</t>
        </is>
      </c>
      <c r="I21" s="19" t="inlineStr">
        <is>
          <t>成長</t>
        </is>
      </c>
      <c r="J21" s="34" t="inlineStr">
        <is>
          <t>技能名稱 (右列)</t>
        </is>
      </c>
      <c r="K21" s="19" t="inlineStr">
        <is>
          <t>初始</t>
        </is>
      </c>
      <c r="L21" s="19" t="inlineStr">
        <is>
          <t>本職</t>
        </is>
      </c>
      <c r="M21" s="19" t="inlineStr">
        <is>
          <t>興趣</t>
        </is>
      </c>
      <c r="N21" s="19" t="inlineStr">
        <is>
          <t>成長</t>
        </is>
      </c>
      <c r="O21" s="19" t="inlineStr">
        <is>
          <t>總值</t>
        </is>
      </c>
      <c r="P21" s="19" t="inlineStr">
        <is>
          <t>困難|極限</t>
        </is>
      </c>
    </row>
    <row r="22" ht="19" customHeight="1">
      <c r="A22" s="15" t="n"/>
      <c r="B22" s="16" t="inlineStr">
        <is>
          <t>信用評級 (Credit Rating)</t>
        </is>
      </c>
      <c r="C22" s="23" t="n">
        <v>0</v>
      </c>
      <c r="D22" s="15" t="n">
        <v>25</v>
      </c>
      <c r="E22" s="15" t="n"/>
      <c r="F22" s="15" t="n"/>
      <c r="G22" s="22">
        <f>C22+D22+E22+F22</f>
        <v/>
      </c>
      <c r="H22" s="24">
        <f>INT(G22/2)&amp;" | "&amp;INT(G22/5)</f>
        <v/>
      </c>
      <c r="I22" s="15" t="n"/>
      <c r="J22" s="16" t="inlineStr">
        <is>
          <t>克蘇魯神話 (Cthulhu Mythos)</t>
        </is>
      </c>
      <c r="K22" s="23" t="n">
        <v>0</v>
      </c>
      <c r="L22" s="15" t="n"/>
      <c r="M22" s="15" t="n"/>
      <c r="N22" s="15" t="n"/>
      <c r="O22" s="22">
        <f>K22+L22+M22+N22</f>
        <v/>
      </c>
      <c r="P22" s="24">
        <f>INT(O22/2)&amp;" | "&amp;INT(O22/5)</f>
        <v/>
      </c>
    </row>
    <row r="23" ht="19" customHeight="1">
      <c r="A23" s="15" t="n"/>
      <c r="B23" s="35" t="inlineStr">
        <is>
          <t>安撫 (Reassure)</t>
        </is>
      </c>
      <c r="C23" s="23">
        <f>INT(E13/5)</f>
        <v/>
      </c>
      <c r="D23" s="15" t="n"/>
      <c r="E23" s="15" t="n"/>
      <c r="F23" s="15" t="n"/>
      <c r="G23" s="22">
        <f>C23+D23+E23+F23</f>
        <v/>
      </c>
      <c r="H23" s="24">
        <f>INT(G23/2)&amp;" | "&amp;INT(G23/5)</f>
        <v/>
      </c>
      <c r="I23" s="15" t="n"/>
      <c r="J23" s="35" t="inlineStr">
        <is>
          <t>偵查 / 識破 (Spot Hidden)</t>
        </is>
      </c>
      <c r="K23" s="23" t="n">
        <v>25</v>
      </c>
      <c r="L23" s="15" t="n">
        <v>45</v>
      </c>
      <c r="M23" s="15" t="n"/>
      <c r="N23" s="15" t="n"/>
      <c r="O23" s="22">
        <f>K23+L23+M23+N23</f>
        <v/>
      </c>
      <c r="P23" s="24">
        <f>INT(O23/2)&amp;" | "&amp;INT(O23/5)</f>
        <v/>
      </c>
    </row>
    <row r="24" ht="19" customHeight="1">
      <c r="A24" s="15" t="n"/>
      <c r="B24" s="16" t="inlineStr">
        <is>
          <t>魅惑 / 取悅 (Charm)</t>
        </is>
      </c>
      <c r="C24" s="23" t="n">
        <v>15</v>
      </c>
      <c r="D24" s="15" t="n"/>
      <c r="E24" s="15" t="n"/>
      <c r="F24" s="15" t="n"/>
      <c r="G24" s="22">
        <f>C24+D24+E24+F24</f>
        <v/>
      </c>
      <c r="H24" s="24">
        <f>INT(G24/2)&amp;" | "&amp;INT(G24/5)</f>
        <v/>
      </c>
      <c r="I24" s="15" t="n"/>
      <c r="J24" s="16" t="inlineStr">
        <is>
          <t>聆聽 (Listen)</t>
        </is>
      </c>
      <c r="K24" s="23" t="n">
        <v>20</v>
      </c>
      <c r="L24" s="15" t="n"/>
      <c r="M24" s="15" t="n"/>
      <c r="N24" s="15" t="n"/>
      <c r="O24" s="22">
        <f>K24+L24+M24+N24</f>
        <v/>
      </c>
      <c r="P24" s="24">
        <f>INT(O24/2)&amp;" | "&amp;INT(O24/5)</f>
        <v/>
      </c>
    </row>
    <row r="25" ht="19" customHeight="1">
      <c r="A25" s="15" t="n"/>
      <c r="B25" s="35" t="inlineStr">
        <is>
          <t>恐嚇 (Intimidate)</t>
        </is>
      </c>
      <c r="C25" s="23" t="n">
        <v>15</v>
      </c>
      <c r="D25" s="15" t="n"/>
      <c r="E25" s="15" t="n"/>
      <c r="F25" s="15" t="n"/>
      <c r="G25" s="22">
        <f>C25+D25+E25+F25</f>
        <v/>
      </c>
      <c r="H25" s="24">
        <f>INT(G25/2)&amp;" | "&amp;INT(G25/5)</f>
        <v/>
      </c>
      <c r="I25" s="15" t="n"/>
      <c r="J25" s="35" t="inlineStr">
        <is>
          <t>追蹤 (Track)</t>
        </is>
      </c>
      <c r="K25" s="23" t="n">
        <v>10</v>
      </c>
      <c r="L25" s="15" t="n"/>
      <c r="M25" s="15" t="n"/>
      <c r="N25" s="15" t="n"/>
      <c r="O25" s="22">
        <f>K25+L25+M25+N25</f>
        <v/>
      </c>
      <c r="P25" s="24">
        <f>INT(O25/2)&amp;" | "&amp;INT(O25/5)</f>
        <v/>
      </c>
    </row>
    <row r="26" ht="19" customHeight="1">
      <c r="A26" s="15" t="n"/>
      <c r="B26" s="16" t="inlineStr">
        <is>
          <t>說服 (Persuade)</t>
        </is>
      </c>
      <c r="C26" s="23" t="n">
        <v>10</v>
      </c>
      <c r="D26" s="15" t="n"/>
      <c r="E26" s="15" t="n"/>
      <c r="F26" s="15" t="n"/>
      <c r="G26" s="22">
        <f>C26+D26+E26+F26</f>
        <v/>
      </c>
      <c r="H26" s="24">
        <f>INT(G26/2)&amp;" | "&amp;INT(G26/5)</f>
        <v/>
      </c>
      <c r="I26" s="15" t="n"/>
      <c r="J26" s="16" t="inlineStr">
        <is>
          <t>急救 (First Aid)</t>
        </is>
      </c>
      <c r="K26" s="23" t="n">
        <v>30</v>
      </c>
      <c r="L26" s="15" t="n"/>
      <c r="M26" s="15" t="n"/>
      <c r="N26" s="15" t="n"/>
      <c r="O26" s="22">
        <f>K26+L26+M26+N26</f>
        <v/>
      </c>
      <c r="P26" s="24">
        <f>INT(O26/2)&amp;" | "&amp;INT(O26/5)</f>
        <v/>
      </c>
    </row>
    <row r="27" ht="19" customHeight="1">
      <c r="A27" s="15" t="n"/>
      <c r="B27" s="35" t="inlineStr">
        <is>
          <t>話術 / 欺騙 (Fast Talk)</t>
        </is>
      </c>
      <c r="C27" s="23" t="n">
        <v>5</v>
      </c>
      <c r="D27" s="15" t="n">
        <v>35</v>
      </c>
      <c r="E27" s="15" t="n"/>
      <c r="F27" s="15" t="n"/>
      <c r="G27" s="22">
        <f>C27+D27+E27+F27</f>
        <v/>
      </c>
      <c r="H27" s="24">
        <f>INT(G27/2)&amp;" | "&amp;INT(G27/5)</f>
        <v/>
      </c>
      <c r="I27" s="15" t="n"/>
      <c r="J27" s="35" t="inlineStr">
        <is>
          <t>醫學 (Medicine)</t>
        </is>
      </c>
      <c r="K27" s="23" t="n">
        <v>1</v>
      </c>
      <c r="L27" s="15" t="n"/>
      <c r="M27" s="15" t="n"/>
      <c r="N27" s="15" t="n"/>
      <c r="O27" s="22">
        <f>K27+L27+M27+N27</f>
        <v/>
      </c>
      <c r="P27" s="24">
        <f>INT(O27/2)&amp;" | "&amp;INT(O27/5)</f>
        <v/>
      </c>
    </row>
    <row r="28" ht="19" customHeight="1">
      <c r="A28" s="15" t="n"/>
      <c r="B28" s="16" t="inlineStr">
        <is>
          <t>心理學 (Psychology)</t>
        </is>
      </c>
      <c r="C28" s="23" t="n">
        <v>10</v>
      </c>
      <c r="D28" s="15" t="n">
        <v>50</v>
      </c>
      <c r="E28" s="15" t="n">
        <v>10</v>
      </c>
      <c r="F28" s="15" t="n"/>
      <c r="G28" s="22">
        <f>C28+D28+E28+F28</f>
        <v/>
      </c>
      <c r="H28" s="24">
        <f>INT(G28/2)&amp;" | "&amp;INT(G28/5)</f>
        <v/>
      </c>
      <c r="I28" s="15" t="n"/>
      <c r="J28" s="16" t="inlineStr">
        <is>
          <t>精神分析 (Psychoanalysis)</t>
        </is>
      </c>
      <c r="K28" s="23" t="n">
        <v>1</v>
      </c>
      <c r="L28" s="15" t="n"/>
      <c r="M28" s="15" t="n"/>
      <c r="N28" s="15" t="n"/>
      <c r="O28" s="22">
        <f>K28+L28+M28+N28</f>
        <v/>
      </c>
      <c r="P28" s="24">
        <f>INT(O28/2)&amp;" | "&amp;INT(O28/5)</f>
        <v/>
      </c>
    </row>
    <row r="29" ht="19" customHeight="1">
      <c r="A29" s="15" t="n"/>
      <c r="B29" s="35" t="inlineStr">
        <is>
          <t>攀爬 (Climb)</t>
        </is>
      </c>
      <c r="C29" s="23" t="n">
        <v>20</v>
      </c>
      <c r="D29" s="15" t="n"/>
      <c r="E29" s="15" t="n"/>
      <c r="F29" s="15" t="n"/>
      <c r="G29" s="22">
        <f>C29+D29+E29+F29</f>
        <v/>
      </c>
      <c r="H29" s="24">
        <f>INT(G29/2)&amp;" | "&amp;INT(G29/5)</f>
        <v/>
      </c>
      <c r="I29" s="15" t="n"/>
      <c r="J29" s="35" t="inlineStr">
        <is>
          <t>導航 / 領航 (Navigate)</t>
        </is>
      </c>
      <c r="K29" s="23" t="n">
        <v>10</v>
      </c>
      <c r="L29" s="15" t="n"/>
      <c r="M29" s="15" t="n"/>
      <c r="N29" s="15" t="n"/>
      <c r="O29" s="22">
        <f>K29+L29+M29+N29</f>
        <v/>
      </c>
      <c r="P29" s="24">
        <f>INT(O29/2)&amp;" | "&amp;INT(O29/5)</f>
        <v/>
      </c>
    </row>
    <row r="30" ht="19" customHeight="1">
      <c r="A30" s="15" t="n"/>
      <c r="B30" s="16" t="inlineStr">
        <is>
          <t>閃避 (Dodge)</t>
        </is>
      </c>
      <c r="C30" s="23">
        <f>INT(E12/2)</f>
        <v/>
      </c>
      <c r="D30" s="15" t="n"/>
      <c r="E30" s="15" t="n">
        <v>25</v>
      </c>
      <c r="F30" s="15" t="n"/>
      <c r="G30" s="22">
        <f>C30+D30+E30+F30</f>
        <v/>
      </c>
      <c r="H30" s="24">
        <f>INT(G30/2)&amp;" | "&amp;INT(G30/5)</f>
        <v/>
      </c>
      <c r="I30" s="15" t="n"/>
      <c r="J30" s="16" t="inlineStr">
        <is>
          <t>生存（荒野 Wilderness）</t>
        </is>
      </c>
      <c r="K30" s="23" t="n">
        <v>10</v>
      </c>
      <c r="L30" s="15" t="n"/>
      <c r="M30" s="15" t="n"/>
      <c r="N30" s="15" t="n"/>
      <c r="O30" s="22">
        <f>K30+L30+M30+N30</f>
        <v/>
      </c>
      <c r="P30" s="24">
        <f>INT(O30/2)&amp;" | "&amp;INT(O30/5)</f>
        <v/>
      </c>
    </row>
    <row r="31" ht="19" customHeight="1">
      <c r="A31" s="15" t="n"/>
      <c r="B31" s="35" t="inlineStr">
        <is>
          <t>跳躍 (Jump)</t>
        </is>
      </c>
      <c r="C31" s="23" t="n">
        <v>20</v>
      </c>
      <c r="D31" s="15" t="n"/>
      <c r="E31" s="15" t="n"/>
      <c r="F31" s="15" t="n"/>
      <c r="G31" s="22">
        <f>C31+D31+E31+F31</f>
        <v/>
      </c>
      <c r="H31" s="24">
        <f>INT(G31/2)&amp;" | "&amp;INT(G31/5)</f>
        <v/>
      </c>
      <c r="I31" s="15" t="n"/>
      <c r="J31" s="35" t="inlineStr">
        <is>
          <t>生存（自訂專精）</t>
        </is>
      </c>
      <c r="K31" s="23" t="n">
        <v>10</v>
      </c>
      <c r="L31" s="15" t="n"/>
      <c r="M31" s="15" t="n"/>
      <c r="N31" s="15" t="n"/>
      <c r="O31" s="22">
        <f>K31+L31+M31+N31</f>
        <v/>
      </c>
      <c r="P31" s="24">
        <f>INT(O31/2)&amp;" | "&amp;INT(O31/5)</f>
        <v/>
      </c>
    </row>
    <row r="32" ht="19" customHeight="1">
      <c r="A32" s="15" t="n"/>
      <c r="B32" s="16" t="inlineStr">
        <is>
          <t>隱密行動 / 潛行 (Stealth)</t>
        </is>
      </c>
      <c r="C32" s="23" t="n">
        <v>20</v>
      </c>
      <c r="D32" s="15" t="n"/>
      <c r="E32" s="15" t="n">
        <v>20</v>
      </c>
      <c r="F32" s="15" t="n"/>
      <c r="G32" s="22">
        <f>C32+D32+E32+F32</f>
        <v/>
      </c>
      <c r="H32" s="24">
        <f>INT(G32/2)&amp;" | "&amp;INT(G32/5)</f>
        <v/>
      </c>
      <c r="I32" s="15" t="n"/>
      <c r="J32" s="16" t="inlineStr">
        <is>
          <t>圖書館使用 (Library Use)</t>
        </is>
      </c>
      <c r="K32" s="23" t="n">
        <v>20</v>
      </c>
      <c r="L32" s="15" t="n">
        <v>30</v>
      </c>
      <c r="M32" s="15" t="n"/>
      <c r="N32" s="15" t="n"/>
      <c r="O32" s="22">
        <f>K32+L32+M32+N32</f>
        <v/>
      </c>
      <c r="P32" s="24">
        <f>INT(O32/2)&amp;" | "&amp;INT(O32/5)</f>
        <v/>
      </c>
    </row>
    <row r="33" ht="19" customHeight="1">
      <c r="A33" s="15" t="n"/>
      <c r="B33" s="35" t="inlineStr">
        <is>
          <t>游泳 (Swim)</t>
        </is>
      </c>
      <c r="C33" s="23" t="n">
        <v>20</v>
      </c>
      <c r="D33" s="15" t="n"/>
      <c r="E33" s="15" t="n"/>
      <c r="F33" s="15" t="n"/>
      <c r="G33" s="22">
        <f>C33+D33+E33+F33</f>
        <v/>
      </c>
      <c r="H33" s="24">
        <f>INT(G33/2)&amp;" | "&amp;INT(G33/5)</f>
        <v/>
      </c>
      <c r="I33" s="15" t="n"/>
      <c r="J33" s="35" t="inlineStr">
        <is>
          <t>會計 (Accounting)</t>
        </is>
      </c>
      <c r="K33" s="23" t="n">
        <v>5</v>
      </c>
      <c r="L33" s="15" t="n"/>
      <c r="M33" s="15" t="n"/>
      <c r="N33" s="15" t="n"/>
      <c r="O33" s="22">
        <f>K33+L33+M33+N33</f>
        <v/>
      </c>
      <c r="P33" s="24">
        <f>INT(O33/2)&amp;" | "&amp;INT(O33/5)</f>
        <v/>
      </c>
    </row>
    <row r="34" ht="19" customHeight="1">
      <c r="A34" s="15" t="n"/>
      <c r="B34" s="16" t="inlineStr">
        <is>
          <t>投擲 (Throw)</t>
        </is>
      </c>
      <c r="C34" s="23" t="n">
        <v>20</v>
      </c>
      <c r="D34" s="15" t="n"/>
      <c r="E34" s="15" t="n"/>
      <c r="F34" s="15" t="n"/>
      <c r="G34" s="22">
        <f>C34+D34+E34+F34</f>
        <v/>
      </c>
      <c r="H34" s="24">
        <f>INT(G34/2)&amp;" | "&amp;INT(G34/5)</f>
        <v/>
      </c>
      <c r="I34" s="15" t="n"/>
      <c r="J34" s="16" t="inlineStr">
        <is>
          <t>法律 (Law)</t>
        </is>
      </c>
      <c r="K34" s="23" t="n">
        <v>5</v>
      </c>
      <c r="L34" s="15" t="n">
        <v>35</v>
      </c>
      <c r="M34" s="15" t="n"/>
      <c r="N34" s="15" t="n"/>
      <c r="O34" s="22">
        <f>K34+L34+M34+N34</f>
        <v/>
      </c>
      <c r="P34" s="24">
        <f>INT(O34/2)&amp;" | "&amp;INT(O34/5)</f>
        <v/>
      </c>
    </row>
    <row r="35" ht="19" customHeight="1">
      <c r="A35" s="15" t="n"/>
      <c r="B35" s="35" t="inlineStr">
        <is>
          <t>騎術 (Ride)</t>
        </is>
      </c>
      <c r="C35" s="23" t="n">
        <v>5</v>
      </c>
      <c r="D35" s="15" t="n"/>
      <c r="E35" s="15" t="n"/>
      <c r="F35" s="15" t="n"/>
      <c r="G35" s="22">
        <f>C35+D35+E35+F35</f>
        <v/>
      </c>
      <c r="H35" s="24">
        <f>INT(G35/2)&amp;" | "&amp;INT(G35/5)</f>
        <v/>
      </c>
      <c r="I35" s="15" t="n"/>
      <c r="J35" s="35" t="inlineStr">
        <is>
          <t>歷史 (History)</t>
        </is>
      </c>
      <c r="K35" s="23" t="n">
        <v>5</v>
      </c>
      <c r="L35" s="15" t="n"/>
      <c r="M35" s="15" t="n"/>
      <c r="N35" s="15" t="n"/>
      <c r="O35" s="22">
        <f>K35+L35+M35+N35</f>
        <v/>
      </c>
      <c r="P35" s="24">
        <f>INT(O35/2)&amp;" | "&amp;INT(O35/5)</f>
        <v/>
      </c>
    </row>
    <row r="36" ht="19" customHeight="1">
      <c r="A36" s="15" t="n"/>
      <c r="B36" s="16" t="inlineStr">
        <is>
          <t>汽車駕駛 (Drive Auto)</t>
        </is>
      </c>
      <c r="C36" s="23" t="n">
        <v>20</v>
      </c>
      <c r="D36" s="15" t="n"/>
      <c r="E36" s="15" t="n">
        <v>20</v>
      </c>
      <c r="F36" s="15" t="n"/>
      <c r="G36" s="22">
        <f>C36+D36+E36+F36</f>
        <v/>
      </c>
      <c r="H36" s="24">
        <f>INT(G36/2)&amp;" | "&amp;INT(G36/5)</f>
        <v/>
      </c>
      <c r="I36" s="15" t="n"/>
      <c r="J36" s="16" t="inlineStr">
        <is>
          <t>考古學 (Archaeology)</t>
        </is>
      </c>
      <c r="K36" s="23" t="n">
        <v>1</v>
      </c>
      <c r="L36" s="15" t="n"/>
      <c r="M36" s="15" t="n"/>
      <c r="N36" s="15" t="n"/>
      <c r="O36" s="22">
        <f>K36+L36+M36+N36</f>
        <v/>
      </c>
      <c r="P36" s="24">
        <f>INT(O36/2)&amp;" | "&amp;INT(O36/5)</f>
        <v/>
      </c>
    </row>
    <row r="37" ht="19" customHeight="1">
      <c r="A37" s="15" t="n"/>
      <c r="B37" s="35" t="inlineStr">
        <is>
          <t>駕駛（飛機 Aircraft）</t>
        </is>
      </c>
      <c r="C37" s="23" t="n">
        <v>1</v>
      </c>
      <c r="D37" s="15" t="n"/>
      <c r="E37" s="15" t="n"/>
      <c r="F37" s="15" t="n"/>
      <c r="G37" s="22">
        <f>C37+D37+E37+F37</f>
        <v/>
      </c>
      <c r="H37" s="24">
        <f>INT(G37/2)&amp;" | "&amp;INT(G37/5)</f>
        <v/>
      </c>
      <c r="I37" s="15" t="n"/>
      <c r="J37" s="35" t="inlineStr">
        <is>
          <t>人類學 (Anthropology)</t>
        </is>
      </c>
      <c r="K37" s="23" t="n">
        <v>1</v>
      </c>
      <c r="L37" s="15" t="n"/>
      <c r="M37" s="15" t="n"/>
      <c r="N37" s="15" t="n"/>
      <c r="O37" s="22">
        <f>K37+L37+M37+N37</f>
        <v/>
      </c>
      <c r="P37" s="24">
        <f>INT(O37/2)&amp;" | "&amp;INT(O37/5)</f>
        <v/>
      </c>
    </row>
    <row r="38" ht="19" customHeight="1">
      <c r="A38" s="15" t="n"/>
      <c r="B38" s="16" t="inlineStr">
        <is>
          <t>駕駛（船隻 Boat）</t>
        </is>
      </c>
      <c r="C38" s="23" t="n">
        <v>1</v>
      </c>
      <c r="D38" s="15" t="n"/>
      <c r="E38" s="15" t="n"/>
      <c r="F38" s="15" t="n"/>
      <c r="G38" s="22">
        <f>C38+D38+E38+F38</f>
        <v/>
      </c>
      <c r="H38" s="24">
        <f>INT(G38/2)&amp;" | "&amp;INT(G38/5)</f>
        <v/>
      </c>
      <c r="I38" s="15" t="n"/>
      <c r="J38" s="16" t="inlineStr">
        <is>
          <t>宗教 (Religion)</t>
        </is>
      </c>
      <c r="K38" s="23" t="n">
        <v>10</v>
      </c>
      <c r="L38" s="15" t="n"/>
      <c r="M38" s="15" t="n"/>
      <c r="N38" s="15" t="n"/>
      <c r="O38" s="22">
        <f>K38+L38+M38+N38</f>
        <v/>
      </c>
      <c r="P38" s="24">
        <f>INT(O38/2)&amp;" | "&amp;INT(O38/5)</f>
        <v/>
      </c>
    </row>
    <row r="39" ht="19" customHeight="1">
      <c r="A39" s="15" t="n"/>
      <c r="B39" s="35" t="inlineStr">
        <is>
          <t>駕駛（自訂載具）</t>
        </is>
      </c>
      <c r="C39" s="23" t="n">
        <v>1</v>
      </c>
      <c r="D39" s="15" t="n"/>
      <c r="E39" s="15" t="n"/>
      <c r="F39" s="15" t="n"/>
      <c r="G39" s="22">
        <f>C39+D39+E39+F39</f>
        <v/>
      </c>
      <c r="H39" s="24">
        <f>INT(G39/2)&amp;" | "&amp;INT(G39/5)</f>
        <v/>
      </c>
      <c r="I39" s="15" t="n"/>
      <c r="J39" s="35" t="inlineStr">
        <is>
          <t>神秘學 (Occult)</t>
        </is>
      </c>
      <c r="K39" s="23" t="n">
        <v>5</v>
      </c>
      <c r="L39" s="15" t="n"/>
      <c r="M39" s="15" t="n"/>
      <c r="N39" s="15" t="n"/>
      <c r="O39" s="22">
        <f>K39+L39+M39+N39</f>
        <v/>
      </c>
      <c r="P39" s="24">
        <f>INT(O39/2)&amp;" | "&amp;INT(O39/5)</f>
        <v/>
      </c>
    </row>
    <row r="40" ht="19" customHeight="1">
      <c r="A40" s="15" t="n"/>
      <c r="B40" s="16" t="inlineStr">
        <is>
          <t>電器維修 (Electrical Repair)</t>
        </is>
      </c>
      <c r="C40" s="23" t="n">
        <v>10</v>
      </c>
      <c r="D40" s="15" t="n"/>
      <c r="E40" s="15" t="n"/>
      <c r="F40" s="15" t="n"/>
      <c r="G40" s="22">
        <f>C40+D40+E40+F40</f>
        <v/>
      </c>
      <c r="H40" s="24">
        <f>INT(G40/2)&amp;" | "&amp;INT(G40/5)</f>
        <v/>
      </c>
      <c r="I40" s="15" t="n"/>
      <c r="J40" s="16" t="inlineStr">
        <is>
          <t>博物學 / 自然 (Natural World)</t>
        </is>
      </c>
      <c r="K40" s="23" t="n">
        <v>10</v>
      </c>
      <c r="L40" s="15" t="n"/>
      <c r="M40" s="15" t="n"/>
      <c r="N40" s="15" t="n"/>
      <c r="O40" s="22">
        <f>K40+L40+M40+N40</f>
        <v/>
      </c>
      <c r="P40" s="24">
        <f>INT(O40/2)&amp;" | "&amp;INT(O40/5)</f>
        <v/>
      </c>
    </row>
    <row r="41" ht="19" customHeight="1">
      <c r="A41" s="15" t="n"/>
      <c r="B41" s="35" t="inlineStr">
        <is>
          <t>機械維修 (Mechanical Repair)</t>
        </is>
      </c>
      <c r="C41" s="23" t="n">
        <v>10</v>
      </c>
      <c r="D41" s="15" t="n"/>
      <c r="E41" s="15" t="n"/>
      <c r="F41" s="15" t="n"/>
      <c r="G41" s="22">
        <f>C41+D41+E41+F41</f>
        <v/>
      </c>
      <c r="H41" s="24">
        <f>INT(G41/2)&amp;" | "&amp;INT(G41/5)</f>
        <v/>
      </c>
      <c r="I41" s="15" t="n"/>
      <c r="J41" s="35" t="inlineStr">
        <is>
          <t>語言（母語 英語）</t>
        </is>
      </c>
      <c r="K41" s="23">
        <f>E17</f>
        <v/>
      </c>
      <c r="L41" s="15" t="n"/>
      <c r="M41" s="15" t="n"/>
      <c r="N41" s="15" t="n"/>
      <c r="O41" s="22">
        <f>K41+L41+M41+N41</f>
        <v/>
      </c>
      <c r="P41" s="24">
        <f>INT(O41/2)&amp;" | "&amp;INT(O41/5)</f>
        <v/>
      </c>
    </row>
    <row r="42" ht="19" customHeight="1">
      <c r="A42" s="15" t="n"/>
      <c r="B42" s="16" t="inlineStr">
        <is>
          <t>重機械操作 (Operate Heavy)</t>
        </is>
      </c>
      <c r="C42" s="23" t="n">
        <v>1</v>
      </c>
      <c r="D42" s="15" t="n"/>
      <c r="E42" s="15" t="n"/>
      <c r="F42" s="15" t="n"/>
      <c r="G42" s="22">
        <f>C42+D42+E42+F42</f>
        <v/>
      </c>
      <c r="H42" s="24">
        <f>INT(G42/2)&amp;" | "&amp;INT(G42/5)</f>
        <v/>
      </c>
      <c r="I42" s="15" t="n"/>
      <c r="J42" s="16" t="inlineStr">
        <is>
          <t>語言（外語一 拉丁語）</t>
        </is>
      </c>
      <c r="K42" s="23" t="n">
        <v>1</v>
      </c>
      <c r="L42" s="15" t="n"/>
      <c r="M42" s="15" t="n"/>
      <c r="N42" s="15" t="n"/>
      <c r="O42" s="22">
        <f>K42+L42+M42+N42</f>
        <v/>
      </c>
      <c r="P42" s="24">
        <f>INT(O42/2)&amp;" | "&amp;INT(O42/5)</f>
        <v/>
      </c>
    </row>
    <row r="43" ht="19" customHeight="1">
      <c r="A43" s="15" t="n"/>
      <c r="B43" s="35" t="inlineStr">
        <is>
          <t>鎖匠 (Locksmith)</t>
        </is>
      </c>
      <c r="C43" s="23" t="n">
        <v>1</v>
      </c>
      <c r="D43" s="15" t="n"/>
      <c r="E43" s="15" t="n"/>
      <c r="F43" s="15" t="n"/>
      <c r="G43" s="22">
        <f>C43+D43+E43+F43</f>
        <v/>
      </c>
      <c r="H43" s="24">
        <f>INT(G43/2)&amp;" | "&amp;INT(G43/5)</f>
        <v/>
      </c>
      <c r="I43" s="15" t="n"/>
      <c r="J43" s="35" t="inlineStr">
        <is>
          <t>語言（外語二 法語）</t>
        </is>
      </c>
      <c r="K43" s="23" t="n">
        <v>1</v>
      </c>
      <c r="L43" s="15" t="n"/>
      <c r="M43" s="15" t="n"/>
      <c r="N43" s="15" t="n"/>
      <c r="O43" s="22">
        <f>K43+L43+M43+N43</f>
        <v/>
      </c>
      <c r="P43" s="24">
        <f>INT(O43/2)&amp;" | "&amp;INT(O43/5)</f>
        <v/>
      </c>
    </row>
    <row r="44" ht="19" customHeight="1">
      <c r="A44" s="15" t="n"/>
      <c r="B44" s="16" t="inlineStr">
        <is>
          <t>妙手 / 巧手 (Sleight of Hand)</t>
        </is>
      </c>
      <c r="C44" s="23" t="n">
        <v>10</v>
      </c>
      <c r="D44" s="15" t="n"/>
      <c r="E44" s="15" t="n"/>
      <c r="F44" s="15" t="n"/>
      <c r="G44" s="22">
        <f>C44+D44+E44+F44</f>
        <v/>
      </c>
      <c r="H44" s="24">
        <f>INT(G44/2)&amp;" | "&amp;INT(G44/5)</f>
        <v/>
      </c>
      <c r="I44" s="15" t="n"/>
      <c r="J44" s="16" t="inlineStr">
        <is>
          <t>語言（外語三 德語）</t>
        </is>
      </c>
      <c r="K44" s="23" t="n">
        <v>1</v>
      </c>
      <c r="L44" s="15" t="n"/>
      <c r="M44" s="15" t="n"/>
      <c r="N44" s="15" t="n"/>
      <c r="O44" s="22">
        <f>K44+L44+M44+N44</f>
        <v/>
      </c>
      <c r="P44" s="24">
        <f>INT(O44/2)&amp;" | "&amp;INT(O44/5)</f>
        <v/>
      </c>
    </row>
    <row r="45" ht="19" customHeight="1">
      <c r="A45" s="15" t="n"/>
      <c r="B45" s="35" t="inlineStr">
        <is>
          <t>催眠 (Hypnosis)</t>
        </is>
      </c>
      <c r="C45" s="23" t="n">
        <v>1</v>
      </c>
      <c r="D45" s="15" t="n"/>
      <c r="E45" s="15" t="n"/>
      <c r="F45" s="15" t="n"/>
      <c r="G45" s="22">
        <f>C45+D45+E45+F45</f>
        <v/>
      </c>
      <c r="H45" s="24">
        <f>INT(G45/2)&amp;" | "&amp;INT(G45/5)</f>
        <v/>
      </c>
      <c r="I45" s="15" t="n"/>
      <c r="J45" s="35" t="inlineStr">
        <is>
          <t>語言（自訂外語）</t>
        </is>
      </c>
      <c r="K45" s="23" t="n">
        <v>1</v>
      </c>
      <c r="L45" s="15" t="n"/>
      <c r="M45" s="15" t="n"/>
      <c r="N45" s="15" t="n"/>
      <c r="O45" s="22">
        <f>K45+L45+M45+N45</f>
        <v/>
      </c>
      <c r="P45" s="24">
        <f>INT(O45/2)&amp;" | "&amp;INT(O45/5)</f>
        <v/>
      </c>
    </row>
    <row r="46" ht="19" customHeight="1">
      <c r="A46" s="15" t="n"/>
      <c r="B46" s="16" t="inlineStr">
        <is>
          <t>讀唇 (Read Lips)</t>
        </is>
      </c>
      <c r="C46" s="23" t="n">
        <v>1</v>
      </c>
      <c r="D46" s="15" t="n"/>
      <c r="E46" s="15" t="n"/>
      <c r="F46" s="15" t="n"/>
      <c r="G46" s="22">
        <f>C46+D46+E46+F46</f>
        <v/>
      </c>
      <c r="H46" s="24">
        <f>INT(G46/2)&amp;" | "&amp;INT(G46/5)</f>
        <v/>
      </c>
      <c r="I46" s="15" t="n"/>
      <c r="J46" s="16" t="inlineStr">
        <is>
          <t>藝術與手藝（攝影 Photography）</t>
        </is>
      </c>
      <c r="K46" s="23" t="n">
        <v>5</v>
      </c>
      <c r="L46" s="15" t="n">
        <v>20</v>
      </c>
      <c r="M46" s="15" t="n"/>
      <c r="N46" s="15" t="n"/>
      <c r="O46" s="22">
        <f>K46+L46+M46+N46</f>
        <v/>
      </c>
      <c r="P46" s="24">
        <f>INT(O46/2)&amp;" | "&amp;INT(O46/5)</f>
        <v/>
      </c>
    </row>
    <row r="47" ht="19" customHeight="1">
      <c r="A47" s="15" t="n"/>
      <c r="B47" s="35" t="inlineStr">
        <is>
          <t>喬裝 (Disguise)</t>
        </is>
      </c>
      <c r="C47" s="23" t="n">
        <v>5</v>
      </c>
      <c r="D47" s="15" t="n">
        <v>20</v>
      </c>
      <c r="E47" s="15" t="n"/>
      <c r="F47" s="15" t="n"/>
      <c r="G47" s="22">
        <f>C47+D47+E47+F47</f>
        <v/>
      </c>
      <c r="H47" s="24">
        <f>INT(G47/2)&amp;" | "&amp;INT(G47/5)</f>
        <v/>
      </c>
      <c r="I47" s="15" t="n"/>
      <c r="J47" s="35" t="inlineStr">
        <is>
          <t>藝術與手藝（偽造 Forgery）</t>
        </is>
      </c>
      <c r="K47" s="23" t="n">
        <v>5</v>
      </c>
      <c r="L47" s="15" t="n"/>
      <c r="M47" s="15" t="n"/>
      <c r="N47" s="15" t="n"/>
      <c r="O47" s="22">
        <f>K47+L47+M47+N47</f>
        <v/>
      </c>
      <c r="P47" s="24">
        <f>INT(O47/2)&amp;" | "&amp;INT(O47/5)</f>
        <v/>
      </c>
    </row>
    <row r="48" ht="19" customHeight="1">
      <c r="A48" s="15" t="n"/>
      <c r="B48" s="16" t="inlineStr">
        <is>
          <t>格鬥（鬥毆 Brawl）</t>
        </is>
      </c>
      <c r="C48" s="23" t="n">
        <v>25</v>
      </c>
      <c r="D48" s="15" t="n"/>
      <c r="E48" s="15" t="n">
        <v>35</v>
      </c>
      <c r="F48" s="15" t="n"/>
      <c r="G48" s="22">
        <f>C48+D48+E48+F48</f>
        <v/>
      </c>
      <c r="H48" s="24">
        <f>INT(G48/2)&amp;" | "&amp;INT(G48/5)</f>
        <v/>
      </c>
      <c r="I48" s="15" t="n"/>
      <c r="J48" s="16" t="inlineStr">
        <is>
          <t>藝術與手藝（音樂/樂器）</t>
        </is>
      </c>
      <c r="K48" s="23" t="n">
        <v>5</v>
      </c>
      <c r="L48" s="15" t="n"/>
      <c r="M48" s="15" t="n"/>
      <c r="N48" s="15" t="n"/>
      <c r="O48" s="22">
        <f>K48+L48+M48+N48</f>
        <v/>
      </c>
      <c r="P48" s="24">
        <f>INT(O48/2)&amp;" | "&amp;INT(O48/5)</f>
        <v/>
      </c>
    </row>
    <row r="49" ht="19" customHeight="1">
      <c r="A49" s="15" t="n"/>
      <c r="B49" s="35" t="inlineStr">
        <is>
          <t>格鬥（斧頭 Axe）</t>
        </is>
      </c>
      <c r="C49" s="23" t="n">
        <v>15</v>
      </c>
      <c r="D49" s="15" t="n"/>
      <c r="E49" s="15" t="n"/>
      <c r="F49" s="15" t="n"/>
      <c r="G49" s="22">
        <f>C49+D49+E49+F49</f>
        <v/>
      </c>
      <c r="H49" s="24">
        <f>INT(G49/2)&amp;" | "&amp;INT(G49/5)</f>
        <v/>
      </c>
      <c r="I49" s="15" t="n"/>
      <c r="J49" s="35" t="inlineStr">
        <is>
          <t>藝術與手藝（自訂專精）</t>
        </is>
      </c>
      <c r="K49" s="23" t="n">
        <v>5</v>
      </c>
      <c r="L49" s="15" t="n"/>
      <c r="M49" s="15" t="n"/>
      <c r="N49" s="15" t="n"/>
      <c r="O49" s="22">
        <f>K49+L49+M49+N49</f>
        <v/>
      </c>
      <c r="P49" s="24">
        <f>INT(O49/2)&amp;" | "&amp;INT(O49/5)</f>
        <v/>
      </c>
    </row>
    <row r="50" ht="19" customHeight="1">
      <c r="A50" s="15" t="n"/>
      <c r="B50" s="16" t="inlineStr">
        <is>
          <t>格鬥（劍術 Sword）</t>
        </is>
      </c>
      <c r="C50" s="23" t="n">
        <v>20</v>
      </c>
      <c r="D50" s="15" t="n"/>
      <c r="E50" s="15" t="n"/>
      <c r="F50" s="15" t="n"/>
      <c r="G50" s="22">
        <f>C50+D50+E50+F50</f>
        <v/>
      </c>
      <c r="H50" s="24">
        <f>INT(G50/2)&amp;" | "&amp;INT(G50/5)</f>
        <v/>
      </c>
      <c r="I50" s="15" t="n"/>
      <c r="J50" s="16" t="inlineStr">
        <is>
          <t>科學（化學 Chemistry）</t>
        </is>
      </c>
      <c r="K50" s="23" t="n">
        <v>1</v>
      </c>
      <c r="L50" s="15" t="n"/>
      <c r="M50" s="15" t="n"/>
      <c r="N50" s="15" t="n"/>
      <c r="O50" s="22">
        <f>K50+L50+M50+N50</f>
        <v/>
      </c>
      <c r="P50" s="24">
        <f>INT(O50/2)&amp;" | "&amp;INT(O50/5)</f>
        <v/>
      </c>
    </row>
    <row r="51" ht="19" customHeight="1">
      <c r="A51" s="15" t="n"/>
      <c r="B51" s="35" t="inlineStr">
        <is>
          <t>格鬥（連枷 Flail）</t>
        </is>
      </c>
      <c r="C51" s="23" t="n">
        <v>15</v>
      </c>
      <c r="D51" s="15" t="n"/>
      <c r="E51" s="15" t="n"/>
      <c r="F51" s="15" t="n"/>
      <c r="G51" s="22">
        <f>C51+D51+E51+F51</f>
        <v/>
      </c>
      <c r="H51" s="24">
        <f>INT(G51/2)&amp;" | "&amp;INT(G51/5)</f>
        <v/>
      </c>
      <c r="I51" s="15" t="n"/>
      <c r="J51" s="35" t="inlineStr">
        <is>
          <t>科學（生物學 Biology）</t>
        </is>
      </c>
      <c r="K51" s="23" t="n">
        <v>1</v>
      </c>
      <c r="L51" s="15" t="n"/>
      <c r="M51" s="15" t="n"/>
      <c r="N51" s="15" t="n"/>
      <c r="O51" s="22">
        <f>K51+L51+M51+N51</f>
        <v/>
      </c>
      <c r="P51" s="24">
        <f>INT(O51/2)&amp;" | "&amp;INT(O51/5)</f>
        <v/>
      </c>
    </row>
    <row r="52" ht="19" customHeight="1">
      <c r="A52" s="15" t="n"/>
      <c r="B52" s="16" t="inlineStr">
        <is>
          <t>格鬥（矛 Spear）</t>
        </is>
      </c>
      <c r="C52" s="23" t="n">
        <v>20</v>
      </c>
      <c r="D52" s="15" t="n"/>
      <c r="E52" s="15" t="n"/>
      <c r="F52" s="15" t="n"/>
      <c r="G52" s="22">
        <f>C52+D52+E52+F52</f>
        <v/>
      </c>
      <c r="H52" s="24">
        <f>INT(G52/2)&amp;" | "&amp;INT(G52/5)</f>
        <v/>
      </c>
      <c r="I52" s="15" t="n"/>
      <c r="J52" s="16" t="inlineStr">
        <is>
          <t>科學（物理學 Physics）</t>
        </is>
      </c>
      <c r="K52" s="23" t="n">
        <v>1</v>
      </c>
      <c r="L52" s="15" t="n"/>
      <c r="M52" s="15" t="n"/>
      <c r="N52" s="15" t="n"/>
      <c r="O52" s="22">
        <f>K52+L52+M52+N52</f>
        <v/>
      </c>
      <c r="P52" s="24">
        <f>INT(O52/2)&amp;" | "&amp;INT(O52/5)</f>
        <v/>
      </c>
    </row>
    <row r="53" ht="19" customHeight="1">
      <c r="A53" s="15" t="n"/>
      <c r="B53" s="35" t="inlineStr">
        <is>
          <t>格鬥（絞繩 Garrote）</t>
        </is>
      </c>
      <c r="C53" s="23" t="n">
        <v>15</v>
      </c>
      <c r="D53" s="15" t="n"/>
      <c r="E53" s="15" t="n"/>
      <c r="F53" s="15" t="n"/>
      <c r="G53" s="22">
        <f>C53+D53+E53+F53</f>
        <v/>
      </c>
      <c r="H53" s="24">
        <f>INT(G53/2)&amp;" | "&amp;INT(G53/5)</f>
        <v/>
      </c>
      <c r="I53" s="15" t="n"/>
      <c r="J53" s="35" t="inlineStr">
        <is>
          <t>科學（藥學 Pharmacy）</t>
        </is>
      </c>
      <c r="K53" s="23" t="n">
        <v>1</v>
      </c>
      <c r="L53" s="15" t="n"/>
      <c r="M53" s="15" t="n"/>
      <c r="N53" s="15" t="n"/>
      <c r="O53" s="22">
        <f>K53+L53+M53+N53</f>
        <v/>
      </c>
      <c r="P53" s="24">
        <f>INT(O53/2)&amp;" | "&amp;INT(O53/5)</f>
        <v/>
      </c>
    </row>
    <row r="54" ht="19" customHeight="1">
      <c r="A54" s="15" t="n"/>
      <c r="B54" s="16" t="inlineStr">
        <is>
          <t>格鬥（電鋸 Chainsaw）</t>
        </is>
      </c>
      <c r="C54" s="23" t="n">
        <v>15</v>
      </c>
      <c r="D54" s="15" t="n"/>
      <c r="E54" s="15" t="n"/>
      <c r="F54" s="15" t="n"/>
      <c r="G54" s="22">
        <f>C54+D54+E54+F54</f>
        <v/>
      </c>
      <c r="H54" s="24">
        <f>INT(G54/2)&amp;" | "&amp;INT(G54/5)</f>
        <v/>
      </c>
      <c r="I54" s="15" t="n"/>
      <c r="J54" s="16" t="inlineStr">
        <is>
          <t>科學（地質學 Geology）</t>
        </is>
      </c>
      <c r="K54" s="23" t="n">
        <v>1</v>
      </c>
      <c r="L54" s="15" t="n"/>
      <c r="M54" s="15" t="n"/>
      <c r="N54" s="15" t="n"/>
      <c r="O54" s="22">
        <f>K54+L54+M54+N54</f>
        <v/>
      </c>
      <c r="P54" s="24">
        <f>INT(O54/2)&amp;" | "&amp;INT(O54/5)</f>
        <v/>
      </c>
    </row>
    <row r="55" ht="19" customHeight="1">
      <c r="A55" s="15" t="n"/>
      <c r="B55" s="35" t="inlineStr">
        <is>
          <t>格鬥（自訂專精 1）</t>
        </is>
      </c>
      <c r="C55" s="23" t="n">
        <v>10</v>
      </c>
      <c r="D55" s="15" t="n"/>
      <c r="E55" s="15" t="n"/>
      <c r="F55" s="15" t="n"/>
      <c r="G55" s="22">
        <f>C55+D55+E55+F55</f>
        <v/>
      </c>
      <c r="H55" s="24">
        <f>INT(G55/2)&amp;" | "&amp;INT(G55/5)</f>
        <v/>
      </c>
      <c r="I55" s="15" t="n"/>
      <c r="J55" s="35" t="inlineStr">
        <is>
          <t>科學（天文學 Astronomy）</t>
        </is>
      </c>
      <c r="K55" s="23" t="n">
        <v>1</v>
      </c>
      <c r="L55" s="15" t="n"/>
      <c r="M55" s="15" t="n"/>
      <c r="N55" s="15" t="n"/>
      <c r="O55" s="22">
        <f>K55+L55+M55+N55</f>
        <v/>
      </c>
      <c r="P55" s="24">
        <f>INT(O55/2)&amp;" | "&amp;INT(O55/5)</f>
        <v/>
      </c>
    </row>
    <row r="56" ht="19" customHeight="1">
      <c r="A56" s="15" t="n"/>
      <c r="B56" s="16" t="inlineStr">
        <is>
          <t>格鬥（自訂專精 2）</t>
        </is>
      </c>
      <c r="C56" s="23" t="n">
        <v>10</v>
      </c>
      <c r="D56" s="15" t="n"/>
      <c r="E56" s="15" t="n"/>
      <c r="F56" s="15" t="n"/>
      <c r="G56" s="22">
        <f>C56+D56+E56+F56</f>
        <v/>
      </c>
      <c r="H56" s="24">
        <f>INT(G56/2)&amp;" | "&amp;INT(G56/5)</f>
        <v/>
      </c>
      <c r="I56" s="15" t="n"/>
      <c r="J56" s="16" t="inlineStr">
        <is>
          <t>科學（法醫學 Forensics）</t>
        </is>
      </c>
      <c r="K56" s="23" t="n">
        <v>1</v>
      </c>
      <c r="L56" s="15" t="n"/>
      <c r="M56" s="15" t="n"/>
      <c r="N56" s="15" t="n"/>
      <c r="O56" s="22">
        <f>K56+L56+M56+N56</f>
        <v/>
      </c>
      <c r="P56" s="24">
        <f>INT(O56/2)&amp;" | "&amp;INT(O56/5)</f>
        <v/>
      </c>
    </row>
    <row r="57" ht="19" customHeight="1">
      <c r="A57" s="15" t="n"/>
      <c r="B57" s="35" t="inlineStr">
        <is>
          <t>射擊（手槍 Handgun）</t>
        </is>
      </c>
      <c r="C57" s="23" t="n">
        <v>20</v>
      </c>
      <c r="D57" s="15" t="n"/>
      <c r="E57" s="15" t="n">
        <v>40</v>
      </c>
      <c r="F57" s="15" t="n"/>
      <c r="G57" s="22">
        <f>C57+D57+E57+F57</f>
        <v/>
      </c>
      <c r="H57" s="24">
        <f>INT(G57/2)&amp;" | "&amp;INT(G57/5)</f>
        <v/>
      </c>
      <c r="I57" s="15" t="n"/>
      <c r="J57" s="35" t="inlineStr">
        <is>
          <t>科學（數學 Mathematics）</t>
        </is>
      </c>
      <c r="K57" s="23" t="n">
        <v>10</v>
      </c>
      <c r="L57" s="15" t="n"/>
      <c r="M57" s="15" t="n"/>
      <c r="N57" s="15" t="n"/>
      <c r="O57" s="22">
        <f>K57+L57+M57+N57</f>
        <v/>
      </c>
      <c r="P57" s="24">
        <f>INT(O57/2)&amp;" | "&amp;INT(O57/5)</f>
        <v/>
      </c>
    </row>
    <row r="58" ht="19" customHeight="1">
      <c r="A58" s="15" t="n"/>
      <c r="B58" s="16" t="inlineStr">
        <is>
          <t>射擊（步槍/霰彈 Rifle）</t>
        </is>
      </c>
      <c r="C58" s="23" t="n">
        <v>25</v>
      </c>
      <c r="D58" s="15" t="n"/>
      <c r="E58" s="15" t="n"/>
      <c r="F58" s="15" t="n"/>
      <c r="G58" s="22">
        <f>C58+D58+E58+F58</f>
        <v/>
      </c>
      <c r="H58" s="24">
        <f>INT(G58/2)&amp;" | "&amp;INT(G58/5)</f>
        <v/>
      </c>
      <c r="I58" s="15" t="n"/>
      <c r="J58" s="16" t="inlineStr">
        <is>
          <t>科學（自訂專精）</t>
        </is>
      </c>
      <c r="K58" s="23" t="n">
        <v>1</v>
      </c>
      <c r="L58" s="15" t="n"/>
      <c r="M58" s="15" t="n"/>
      <c r="N58" s="15" t="n"/>
      <c r="O58" s="22">
        <f>K58+L58+M58+N58</f>
        <v/>
      </c>
      <c r="P58" s="24">
        <f>INT(O58/2)&amp;" | "&amp;INT(O58/5)</f>
        <v/>
      </c>
    </row>
    <row r="59" ht="19" customHeight="1">
      <c r="A59" s="15" t="n"/>
      <c r="B59" s="35" t="inlineStr">
        <is>
          <t>射擊（衝鋒槍 SMG）</t>
        </is>
      </c>
      <c r="C59" s="23" t="n">
        <v>15</v>
      </c>
      <c r="D59" s="15" t="n"/>
      <c r="E59" s="15" t="n"/>
      <c r="F59" s="15" t="n"/>
      <c r="G59" s="22">
        <f>C59+D59+E59+F59</f>
        <v/>
      </c>
      <c r="H59" s="24">
        <f>INT(G59/2)&amp;" | "&amp;INT(G59/5)</f>
        <v/>
      </c>
      <c r="I59" s="15" t="n"/>
      <c r="J59" s="35" t="inlineStr">
        <is>
          <t>【自訂技能 1】</t>
        </is>
      </c>
      <c r="K59" s="23" t="n">
        <v>1</v>
      </c>
      <c r="L59" s="15" t="n"/>
      <c r="M59" s="15" t="n"/>
      <c r="N59" s="15" t="n"/>
      <c r="O59" s="22">
        <f>K59+L59+M59+N59</f>
        <v/>
      </c>
      <c r="P59" s="24">
        <f>INT(O59/2)&amp;" | "&amp;INT(O59/5)</f>
        <v/>
      </c>
    </row>
    <row r="60" ht="19" customHeight="1">
      <c r="A60" s="15" t="n"/>
      <c r="B60" s="16" t="inlineStr">
        <is>
          <t>射擊（機槍 Machine Gun）</t>
        </is>
      </c>
      <c r="C60" s="23" t="n">
        <v>15</v>
      </c>
      <c r="D60" s="15" t="n"/>
      <c r="E60" s="15" t="n"/>
      <c r="F60" s="15" t="n"/>
      <c r="G60" s="22">
        <f>C60+D60+E60+F60</f>
        <v/>
      </c>
      <c r="H60" s="24">
        <f>INT(G60/2)&amp;" | "&amp;INT(G60/5)</f>
        <v/>
      </c>
      <c r="I60" s="15" t="n"/>
      <c r="J60" s="16" t="inlineStr">
        <is>
          <t>【自訂技能 2】</t>
        </is>
      </c>
      <c r="K60" s="23" t="n">
        <v>1</v>
      </c>
      <c r="L60" s="15" t="n"/>
      <c r="M60" s="15" t="n"/>
      <c r="N60" s="15" t="n"/>
      <c r="O60" s="22">
        <f>K60+L60+M60+N60</f>
        <v/>
      </c>
      <c r="P60" s="24">
        <f>INT(O60/2)&amp;" | "&amp;INT(O60/5)</f>
        <v/>
      </c>
    </row>
    <row r="61" ht="19" customHeight="1">
      <c r="A61" s="15" t="n"/>
      <c r="B61" s="35" t="inlineStr">
        <is>
          <t>射擊（弓弩 Bow）</t>
        </is>
      </c>
      <c r="C61" s="23" t="n">
        <v>15</v>
      </c>
      <c r="D61" s="15" t="n"/>
      <c r="E61" s="15" t="n"/>
      <c r="F61" s="15" t="n"/>
      <c r="G61" s="22">
        <f>C61+D61+E61+F61</f>
        <v/>
      </c>
      <c r="H61" s="24">
        <f>INT(G61/2)&amp;" | "&amp;INT(G61/5)</f>
        <v/>
      </c>
      <c r="I61" s="15" t="n"/>
      <c r="J61" s="35" t="inlineStr">
        <is>
          <t>【自訂技能 3】</t>
        </is>
      </c>
      <c r="K61" s="23" t="n">
        <v>1</v>
      </c>
      <c r="L61" s="15" t="n"/>
      <c r="M61" s="15" t="n"/>
      <c r="N61" s="15" t="n"/>
      <c r="O61" s="22">
        <f>K61+L61+M61+N61</f>
        <v/>
      </c>
      <c r="P61" s="24">
        <f>INT(O61/2)&amp;" | "&amp;INT(O61/5)</f>
        <v/>
      </c>
    </row>
    <row r="62" ht="22" customHeight="1">
      <c r="A62" s="7" t="inlineStr">
        <is>
          <t>⚔️ 戰鬥武器軍械庫與戰術動作 (Weapons Armory &amp; Combat Maneuvers)</t>
        </is>
      </c>
    </row>
    <row r="63" ht="20" customHeight="1">
      <c r="A63" s="18" t="inlineStr">
        <is>
          <t>武器名稱 (Weapon)</t>
        </is>
      </c>
      <c r="C63" s="18" t="inlineStr">
        <is>
          <t>關聯技能 (Skill)</t>
        </is>
      </c>
      <c r="E63" s="19" t="inlineStr">
        <is>
          <t>技能%</t>
        </is>
      </c>
      <c r="F63" s="18" t="inlineStr">
        <is>
          <t>基礎傷害 (Damage)</t>
        </is>
      </c>
      <c r="H63" s="19" t="inlineStr">
        <is>
          <t>穿刺傷害</t>
        </is>
      </c>
      <c r="I63" s="18" t="inlineStr">
        <is>
          <t>射程/距離</t>
        </is>
      </c>
      <c r="K63" s="19" t="inlineStr">
        <is>
          <t>每輪次數</t>
        </is>
      </c>
      <c r="L63" s="19" t="inlineStr">
        <is>
          <t>彈匣/殘彈</t>
        </is>
      </c>
      <c r="M63" s="19" t="inlineStr">
        <is>
          <t>故障值</t>
        </is>
      </c>
      <c r="N63" s="19" t="inlineStr">
        <is>
          <t>耐久 HP</t>
        </is>
      </c>
      <c r="O63" s="18" t="inlineStr">
        <is>
          <t>武器特性/戰術備註</t>
        </is>
      </c>
    </row>
    <row r="64" ht="19" customHeight="1">
      <c r="A64" s="36" t="inlineStr">
        <is>
          <t>徒手格鬥 / 拳打腳踢</t>
        </is>
      </c>
      <c r="C64" s="37" t="inlineStr">
        <is>
          <t>格鬥（鬥毆）</t>
        </is>
      </c>
      <c r="E64" s="22">
        <f>G48</f>
        <v/>
      </c>
      <c r="F64" s="32" t="inlineStr">
        <is>
          <t>1D3+DB</t>
        </is>
      </c>
      <c r="H64" s="23" t="inlineStr">
        <is>
          <t>-</t>
        </is>
      </c>
      <c r="I64" s="37" t="inlineStr">
        <is>
          <t>接觸</t>
        </is>
      </c>
      <c r="K64" s="15" t="inlineStr">
        <is>
          <t>1</t>
        </is>
      </c>
      <c r="L64" s="15" t="inlineStr">
        <is>
          <t>-</t>
        </is>
      </c>
      <c r="M64" s="23" t="inlineStr">
        <is>
          <t>-</t>
        </is>
      </c>
      <c r="N64" s="23" t="inlineStr">
        <is>
          <t>-</t>
        </is>
      </c>
      <c r="O64" s="38" t="inlineStr">
        <is>
          <t>可實施繳械、抱摔、擒抱戰技</t>
        </is>
      </c>
    </row>
    <row r="65" ht="19" customHeight="1">
      <c r="A65" s="21" t="inlineStr">
        <is>
          <t>小型折疊匕首</t>
        </is>
      </c>
      <c r="C65" s="39" t="inlineStr">
        <is>
          <t>格鬥（鬥毆）</t>
        </is>
      </c>
      <c r="E65" s="22">
        <f>G48</f>
        <v/>
      </c>
      <c r="F65" s="32" t="inlineStr">
        <is>
          <t>1D4+DB</t>
        </is>
      </c>
      <c r="H65" s="23" t="inlineStr">
        <is>
          <t>4+DB</t>
        </is>
      </c>
      <c r="I65" s="39" t="inlineStr">
        <is>
          <t>接觸</t>
        </is>
      </c>
      <c r="K65" s="40" t="inlineStr">
        <is>
          <t>1</t>
        </is>
      </c>
      <c r="L65" s="15" t="inlineStr">
        <is>
          <t>-</t>
        </is>
      </c>
      <c r="M65" s="23" t="inlineStr">
        <is>
          <t>-</t>
        </is>
      </c>
      <c r="N65" s="23" t="inlineStr">
        <is>
          <t>9</t>
        </is>
      </c>
      <c r="O65" s="41" t="inlineStr">
        <is>
          <t>穿刺冷兵器，極限成功造成穿刺</t>
        </is>
      </c>
    </row>
    <row r="66" ht="19" customHeight="1">
      <c r="A66" s="36" t="inlineStr">
        <is>
          <t>.38 口徑左輪手槍</t>
        </is>
      </c>
      <c r="C66" s="37" t="inlineStr">
        <is>
          <t>射擊（手槍）</t>
        </is>
      </c>
      <c r="E66" s="22">
        <f>G57</f>
        <v/>
      </c>
      <c r="F66" s="32" t="inlineStr">
        <is>
          <t>1D10</t>
        </is>
      </c>
      <c r="H66" s="23" t="inlineStr">
        <is>
          <t>10+1D10</t>
        </is>
      </c>
      <c r="I66" s="37" t="inlineStr">
        <is>
          <t>15 米</t>
        </is>
      </c>
      <c r="K66" s="15" t="inlineStr">
        <is>
          <t>1(3)</t>
        </is>
      </c>
      <c r="L66" s="15" t="inlineStr">
        <is>
          <t>6 / 6</t>
        </is>
      </c>
      <c r="M66" s="23" t="inlineStr">
        <is>
          <t>100</t>
        </is>
      </c>
      <c r="N66" s="23" t="inlineStr">
        <is>
          <t>9</t>
        </is>
      </c>
      <c r="O66" s="38" t="inlineStr">
        <is>
          <t>可靠便攜，私家偵探隨身標配槍械</t>
        </is>
      </c>
    </row>
    <row r="67" ht="19" customHeight="1">
      <c r="A67" s="21" t="inlineStr">
        <is>
          <t>12號霰彈槍 (雙管)</t>
        </is>
      </c>
      <c r="C67" s="39" t="inlineStr">
        <is>
          <t>射擊（步槍/霰彈）</t>
        </is>
      </c>
      <c r="E67" s="22">
        <f>G58</f>
        <v/>
      </c>
      <c r="F67" s="32" t="inlineStr">
        <is>
          <t>4D6/2D6/1D6</t>
        </is>
      </c>
      <c r="H67" s="23" t="inlineStr">
        <is>
          <t>24/12/6</t>
        </is>
      </c>
      <c r="I67" s="39" t="inlineStr">
        <is>
          <t>10/20/50米</t>
        </is>
      </c>
      <c r="K67" s="40" t="inlineStr">
        <is>
          <t>1或2</t>
        </is>
      </c>
      <c r="L67" s="15" t="inlineStr">
        <is>
          <t>2 / 2</t>
        </is>
      </c>
      <c r="M67" s="23" t="inlineStr">
        <is>
          <t>100</t>
        </is>
      </c>
      <c r="N67" s="23" t="inlineStr">
        <is>
          <t>12</t>
        </is>
      </c>
      <c r="O67" s="41" t="inlineStr">
        <is>
          <t>面殺傷，近距離極高毀滅力</t>
        </is>
      </c>
    </row>
    <row r="68" ht="19" customHeight="1">
      <c r="A68" s="36" t="inlineStr">
        <is>
          <t>重型木製手杖</t>
        </is>
      </c>
      <c r="C68" s="37" t="inlineStr">
        <is>
          <t>格鬥（鬥毆）</t>
        </is>
      </c>
      <c r="E68" s="22">
        <f>G48</f>
        <v/>
      </c>
      <c r="F68" s="32" t="inlineStr">
        <is>
          <t>1D6+DB</t>
        </is>
      </c>
      <c r="H68" s="23" t="inlineStr">
        <is>
          <t>-</t>
        </is>
      </c>
      <c r="I68" s="37" t="inlineStr">
        <is>
          <t>接觸</t>
        </is>
      </c>
      <c r="K68" s="15" t="inlineStr">
        <is>
          <t>1</t>
        </is>
      </c>
      <c r="L68" s="15" t="inlineStr">
        <is>
          <t>-</t>
        </is>
      </c>
      <c r="M68" s="23" t="inlineStr">
        <is>
          <t>-</t>
        </is>
      </c>
      <c r="N68" s="23" t="inlineStr">
        <is>
          <t>15</t>
        </is>
      </c>
      <c r="O68" s="38" t="inlineStr">
        <is>
          <t>可偽裝成隨身手杖，堅固實用</t>
        </is>
      </c>
    </row>
    <row r="69" ht="19" customHeight="1">
      <c r="A69" s="21" t="inlineStr">
        <is>
          <t>自訂備用武器 1</t>
        </is>
      </c>
      <c r="C69" s="39" t="inlineStr">
        <is>
          <t>自訂技能</t>
        </is>
      </c>
      <c r="E69" s="22" t="n">
        <v>0</v>
      </c>
      <c r="F69" s="32" t="inlineStr">
        <is>
          <t>-</t>
        </is>
      </c>
      <c r="H69" s="23" t="inlineStr">
        <is>
          <t>-</t>
        </is>
      </c>
      <c r="I69" s="39" t="inlineStr">
        <is>
          <t>-</t>
        </is>
      </c>
      <c r="K69" s="40" t="inlineStr">
        <is>
          <t>-</t>
        </is>
      </c>
      <c r="L69" s="15" t="inlineStr">
        <is>
          <t>-</t>
        </is>
      </c>
      <c r="M69" s="23" t="inlineStr">
        <is>
          <t>-</t>
        </is>
      </c>
      <c r="N69" s="23" t="inlineStr">
        <is>
          <t>-</t>
        </is>
      </c>
      <c r="O69" s="41" t="inlineStr">
        <is>
          <t>自由指定武器數據</t>
        </is>
      </c>
    </row>
    <row r="70" ht="19" customHeight="1">
      <c r="A70" s="36" t="inlineStr">
        <is>
          <t>自訂備用武器 2</t>
        </is>
      </c>
      <c r="C70" s="37" t="inlineStr">
        <is>
          <t>自訂技能</t>
        </is>
      </c>
      <c r="E70" s="22" t="n">
        <v>0</v>
      </c>
      <c r="F70" s="32" t="inlineStr">
        <is>
          <t>-</t>
        </is>
      </c>
      <c r="H70" s="23" t="inlineStr">
        <is>
          <t>-</t>
        </is>
      </c>
      <c r="I70" s="37" t="inlineStr">
        <is>
          <t>-</t>
        </is>
      </c>
      <c r="K70" s="15" t="inlineStr">
        <is>
          <t>-</t>
        </is>
      </c>
      <c r="L70" s="15" t="inlineStr">
        <is>
          <t>-</t>
        </is>
      </c>
      <c r="M70" s="23" t="inlineStr">
        <is>
          <t>-</t>
        </is>
      </c>
      <c r="N70" s="23" t="inlineStr">
        <is>
          <t>-</t>
        </is>
      </c>
      <c r="O70" s="38" t="inlineStr">
        <is>
          <t>自由指定武器數據</t>
        </is>
      </c>
    </row>
    <row r="71" ht="20" customHeight="1">
      <c r="A71" s="7" t="inlineStr">
        <is>
          <t>🥋 戰術戰技體格比對器 (Fighting Maneuver Build Comparator)</t>
        </is>
      </c>
      <c r="I71" s="7" t="inlineStr">
        <is>
          <t>🔫 槍械戰術動作速查 (Firearm Maneuvers - Companion p.68)</t>
        </is>
      </c>
    </row>
    <row r="72" ht="20" customHeight="1">
      <c r="A72" s="9" t="inlineStr">
        <is>
          <t>我方體格 (My Build):</t>
        </is>
      </c>
      <c r="C72" s="22">
        <f>L16</f>
        <v/>
      </c>
      <c r="D72" s="9" t="inlineStr">
        <is>
          <t>目標體格 (Target):</t>
        </is>
      </c>
      <c r="F72" s="12" t="n">
        <v>1</v>
      </c>
      <c r="G72" s="42" t="inlineStr">
        <is>
          <t>體格差距:</t>
        </is>
      </c>
      <c r="H72" s="24">
        <f>F72-C72</f>
        <v/>
      </c>
      <c r="I72" s="33">
        <f>"近身射擊 (Point-Blank): 目標距離 ≤ DEX/5 呎 (約 " &amp; INT(E12/5) &amp; " 呎)，射擊自動獲得 +1 獎勵骰！"</f>
        <v/>
      </c>
    </row>
    <row r="73" ht="20" customHeight="1">
      <c r="A73" s="9" t="inlineStr">
        <is>
          <t>戰技判定修正:</t>
        </is>
      </c>
      <c r="C73" s="17">
        <f>IF(H72&lt;=0, "正常對抗 (無懲罰骰)", IF(H72=1, "承受 1 顆懲罰骰 (-1P)", IF(H72=2, "承受 2 顆懲罰骰 (-2P)", "❌ 戰技無效！(體格差≥3無法摔倒巨獸)")))</f>
        <v/>
      </c>
      <c r="I73" s="43" t="inlineStr">
        <is>
          <t>製造恐慌 (Cause Panic): 於公共場合鳴槍或亮槍，迫使人群潰散或目標進行意志/理智判定。</t>
        </is>
      </c>
    </row>
    <row r="74" ht="20" customHeight="1">
      <c r="A74" s="41" t="inlineStr">
        <is>
          <t>規則摘要: 戰技包含繳械、推倒、抱摔、擒抱。若目標體格大於我方3點以上則物理無法實施。</t>
        </is>
      </c>
      <c r="I74" s="33" t="inlineStr">
        <is>
          <t>槍口命令 (Hold at Gunpoint): 持已準備槍械指著目標保留先攻，目標若試圖動作立即搶先射擊！</t>
        </is>
      </c>
    </row>
    <row r="75" ht="20" customHeight="1">
      <c r="A75" s="41" t="inlineStr">
        <is>
          <t>互通門檻: 任何格鬥專精不得低於最高格鬥之一半；任何射擊專精不得低於最高射擊之一半。</t>
        </is>
      </c>
      <c r="I75" s="43" t="inlineStr">
        <is>
          <t>圍攻加成 (Outnumbered): 目標同一輪內反擊或閃避過一次後，後續所有近戰攻擊者獲 +1 獎勵骰！</t>
        </is>
      </c>
    </row>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123">
    <mergeCell ref="I74:P74"/>
    <mergeCell ref="F5:H5"/>
    <mergeCell ref="A15:B15"/>
    <mergeCell ref="A64:B64"/>
    <mergeCell ref="A73:B73"/>
    <mergeCell ref="F68:G68"/>
    <mergeCell ref="O6:P6"/>
    <mergeCell ref="O15:P15"/>
    <mergeCell ref="A62:P62"/>
    <mergeCell ref="A70:B70"/>
    <mergeCell ref="C64:D64"/>
    <mergeCell ref="A7:B7"/>
    <mergeCell ref="I16:J16"/>
    <mergeCell ref="C63:D63"/>
    <mergeCell ref="O63:P63"/>
    <mergeCell ref="I66:J66"/>
    <mergeCell ref="A75:H75"/>
    <mergeCell ref="F70:G70"/>
    <mergeCell ref="I18:J18"/>
    <mergeCell ref="M16:N16"/>
    <mergeCell ref="O16:P16"/>
    <mergeCell ref="A3:H3"/>
    <mergeCell ref="D72:E72"/>
    <mergeCell ref="M18:N18"/>
    <mergeCell ref="N4:P4"/>
    <mergeCell ref="A17:B17"/>
    <mergeCell ref="M17:N17"/>
    <mergeCell ref="O17:P17"/>
    <mergeCell ref="O11:P11"/>
    <mergeCell ref="C67:D67"/>
    <mergeCell ref="K5:M5"/>
    <mergeCell ref="A19:B19"/>
    <mergeCell ref="A68:B68"/>
    <mergeCell ref="C19:D19"/>
    <mergeCell ref="O66:P66"/>
    <mergeCell ref="C73:H73"/>
    <mergeCell ref="I13:J13"/>
    <mergeCell ref="I69:J69"/>
    <mergeCell ref="A9:B9"/>
    <mergeCell ref="C69:D69"/>
    <mergeCell ref="I6:J6"/>
    <mergeCell ref="O68:P68"/>
    <mergeCell ref="I15:J15"/>
    <mergeCell ref="A11:B11"/>
    <mergeCell ref="K15:L15"/>
    <mergeCell ref="F63:G63"/>
    <mergeCell ref="I70:J70"/>
    <mergeCell ref="I7:J7"/>
    <mergeCell ref="O65:P65"/>
    <mergeCell ref="F66:G66"/>
    <mergeCell ref="I75:P75"/>
    <mergeCell ref="I3:P3"/>
    <mergeCell ref="A1:P1"/>
    <mergeCell ref="C4:F4"/>
    <mergeCell ref="K4:M4"/>
    <mergeCell ref="I17:J17"/>
    <mergeCell ref="C6:H6"/>
    <mergeCell ref="I20:P20"/>
    <mergeCell ref="A20:H20"/>
    <mergeCell ref="I10:J10"/>
    <mergeCell ref="A63:B63"/>
    <mergeCell ref="M7:P7"/>
    <mergeCell ref="A10:B10"/>
    <mergeCell ref="C66:D66"/>
    <mergeCell ref="K6:L6"/>
    <mergeCell ref="I9:J9"/>
    <mergeCell ref="F64:G64"/>
    <mergeCell ref="C68:D68"/>
    <mergeCell ref="I11:J11"/>
    <mergeCell ref="O9:P9"/>
    <mergeCell ref="A69:B69"/>
    <mergeCell ref="A65:B65"/>
    <mergeCell ref="C65:D65"/>
    <mergeCell ref="I72:P72"/>
    <mergeCell ref="I71:P71"/>
    <mergeCell ref="A12:B12"/>
    <mergeCell ref="A74:H74"/>
    <mergeCell ref="M15:N15"/>
    <mergeCell ref="A71:H71"/>
    <mergeCell ref="A5:B5"/>
    <mergeCell ref="A14:B14"/>
    <mergeCell ref="C70:D70"/>
    <mergeCell ref="A8:H8"/>
    <mergeCell ref="I64:J64"/>
    <mergeCell ref="A4:B4"/>
    <mergeCell ref="O70:P70"/>
    <mergeCell ref="K7:L7"/>
    <mergeCell ref="I19:P19"/>
    <mergeCell ref="I63:J63"/>
    <mergeCell ref="A67:B67"/>
    <mergeCell ref="I65:J65"/>
    <mergeCell ref="F69:G69"/>
    <mergeCell ref="O10:P10"/>
    <mergeCell ref="F65:G65"/>
    <mergeCell ref="N5:P5"/>
    <mergeCell ref="O18:P18"/>
    <mergeCell ref="A6:B6"/>
    <mergeCell ref="A16:B16"/>
    <mergeCell ref="E19:F19"/>
    <mergeCell ref="G19:H19"/>
    <mergeCell ref="A66:B66"/>
    <mergeCell ref="A18:B18"/>
    <mergeCell ref="C7:H7"/>
    <mergeCell ref="O69:P69"/>
    <mergeCell ref="I12:J12"/>
    <mergeCell ref="I68:J68"/>
    <mergeCell ref="M6:N6"/>
    <mergeCell ref="I67:J67"/>
    <mergeCell ref="I5:J5"/>
    <mergeCell ref="I14:J14"/>
    <mergeCell ref="O12:P12"/>
    <mergeCell ref="F67:G67"/>
    <mergeCell ref="I8:P8"/>
    <mergeCell ref="O64:P64"/>
    <mergeCell ref="G4:H4"/>
    <mergeCell ref="I4:J4"/>
    <mergeCell ref="A72:B72"/>
    <mergeCell ref="I73:P73"/>
    <mergeCell ref="O67:P67"/>
    <mergeCell ref="O14:P14"/>
    <mergeCell ref="A13:B13"/>
    <mergeCell ref="O13:P13"/>
    <mergeCell ref="A2:P2"/>
  </mergeCells>
  <dataValidations count="7">
    <dataValidation sqref="K4" showDropDown="0" showInputMessage="0" showErrorMessage="0" allowBlank="1" type="list">
      <formula1>"480點分配法 (Companion),460點購點法 (Core),3D6隨機擲骰 (Standard),高超本領 (Pulp)"</formula1>
    </dataValidation>
    <dataValidation sqref="D5" showDropDown="0" showInputMessage="0" showErrorMessage="0" allowBlank="1" type="list">
      <formula1>"男,女,其他"</formula1>
    </dataValidation>
    <dataValidation sqref="E5" showDropDown="0" showInputMessage="0" showErrorMessage="0" allowBlank="1" type="list">
      <formula1>"1920s,1930s (Pulp),現代 (Modern),煤氣燈 (Gaslight),冷戰 (Cold War)"</formula1>
    </dataValidation>
    <dataValidation sqref="K5" showDropDown="0" showInputMessage="0" showErrorMessage="0" allowBlank="1" type="list">
      <formula1>='📚 官方核心資料庫'!$C$5:$C$131</formula1>
    </dataValidation>
    <dataValidation sqref="K15" showDropDown="0" showInputMessage="0" showErrorMessage="0" allowBlank="1" type="list">
      <formula1>"無 (健全),討好 (Fawn),戰鬥 (Fight),逃跑 (Flight),虛脫 (Flop),僵直 (Freeze)"</formula1>
    </dataValidation>
    <dataValidation sqref="M10 M12 M13 M14" showDropDown="0" showInputMessage="0" showErrorMessage="0" allowBlank="1" type="list">
      <formula1>"☑,☐"</formula1>
    </dataValidation>
    <dataValidation sqref="A22 A23 A24 A25 A26 A27 A28 A29 A30 A31 A32 A33 A34 A35 A36 A37 A38 A39 A40 A41 A42 A43 A44 A45 A46 A47 A48 A49 A50 A51 A52 A53 A54 A55 A56 A57 A58 A59 A60 A61 I22 I23 I24 I25 I26 I27 I28 I29 I30 I31 I32 I33 I34 I35 I36 I37 I38 I39 I40 I41 I42 I43 I44 I45 I46 I47 I48 I49 I50 I51 I52 I53 I54 I55 I56 I57 I58 I59 I60 I61"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6"/>
  <sheetViews>
    <sheetView showGridLines="1" workbookViewId="0">
      <selection activeCell="A1" sqref="A1"/>
    </sheetView>
  </sheetViews>
  <sheetFormatPr baseColWidth="8" defaultRowHeight="15"/>
  <cols>
    <col width="5" customWidth="1" min="1" max="1"/>
    <col width="22" customWidth="1" min="2" max="2"/>
    <col width="12" customWidth="1" min="3" max="3"/>
    <col width="25" customWidth="1" min="4" max="4"/>
    <col width="25" customWidth="1" min="5" max="5"/>
    <col width="25" customWidth="1" min="6" max="6"/>
    <col width="18" customWidth="1" min="7" max="7"/>
    <col width="18"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8" customHeight="1">
      <c r="A1" s="1" t="inlineStr">
        <is>
          <t>🏛️ MISKATONIC ARCHIVES • INVESTIGATOR DOSSIER: BACKSTORY &amp; MENTAL SCARS</t>
        </is>
      </c>
      <c r="C1" s="2" t="n"/>
      <c r="O1" s="4" t="n"/>
      <c r="P1" s="2" t="n"/>
      <c r="AC1" s="2" t="n"/>
      <c r="AD1" s="3" t="n"/>
      <c r="AE1" s="5" t="n"/>
      <c r="AF1" s="5" t="n"/>
      <c r="AG1" s="5" t="n"/>
      <c r="AH1" s="5" t="n"/>
      <c r="AI1" s="5" t="n"/>
      <c r="AJ1" s="5" t="n"/>
    </row>
    <row r="2" ht="20" customHeight="1">
      <c r="A2" s="6" t="inlineStr">
        <is>
          <t>【 調查員背景十要素、心靈關鍵連結與神話心智印記 (BACKSTORY &amp; TRAUMA LOG) 】</t>
        </is>
      </c>
      <c r="C2" s="2" t="n"/>
      <c r="O2" s="4" t="n"/>
      <c r="P2" s="2" t="n"/>
      <c r="Q2" s="3" t="n"/>
      <c r="R2" s="5" t="n"/>
      <c r="S2" s="5" t="n"/>
      <c r="T2" s="5" t="n"/>
      <c r="U2" s="5" t="n"/>
      <c r="V2" s="5" t="n"/>
      <c r="W2" s="5" t="n"/>
      <c r="X2" s="5" t="n"/>
      <c r="Y2" s="5" t="n"/>
      <c r="Z2" s="5" t="n"/>
      <c r="AA2" s="5" t="n"/>
      <c r="AC2" s="2" t="n"/>
      <c r="AD2" s="3" t="n"/>
      <c r="AE2" s="5" t="n"/>
      <c r="AF2" s="5" t="n"/>
      <c r="AG2" s="5" t="n"/>
      <c r="AH2" s="5" t="n"/>
      <c r="AI2" s="5" t="n"/>
      <c r="AJ2" s="5" t="n"/>
    </row>
    <row r="3" ht="22" customHeight="1">
      <c r="A3" s="7" t="inlineStr">
        <is>
          <t>🕯️ 官方背景故事十要素與精神關鍵連結 (10 Official Backstory Elements &amp; Key Connection)</t>
        </is>
      </c>
      <c r="C3" s="2" t="n"/>
      <c r="O3" s="4" t="n"/>
      <c r="P3" s="2" t="n"/>
      <c r="Q3" s="3" t="n"/>
      <c r="R3" s="5" t="n"/>
      <c r="S3" s="5" t="n"/>
      <c r="T3" s="5" t="n"/>
      <c r="U3" s="5" t="n"/>
      <c r="V3" s="5" t="n"/>
      <c r="W3" s="5" t="n"/>
      <c r="X3" s="5" t="n"/>
      <c r="Y3" s="5" t="n"/>
      <c r="Z3" s="5" t="n"/>
      <c r="AA3" s="5" t="n"/>
      <c r="AC3" s="2" t="n"/>
    </row>
    <row r="4" ht="20" customHeight="1">
      <c r="A4" s="19" t="inlineStr">
        <is>
          <t>序號</t>
        </is>
      </c>
      <c r="B4" s="19" t="inlineStr">
        <is>
          <t>背景故事核心要素</t>
        </is>
      </c>
      <c r="C4" s="19" t="inlineStr">
        <is>
          <t>精神關鍵連結?</t>
        </is>
      </c>
      <c r="D4" s="19" t="inlineStr">
        <is>
          <t>詳細描述內容 (角色設定與回憶)</t>
        </is>
      </c>
      <c r="E4" s="5" t="n"/>
      <c r="F4" s="5" t="n"/>
      <c r="G4" s="12" t="inlineStr">
        <is>
          <t>變異 / 質變改寫記錄 (Changed Rewrite)</t>
        </is>
      </c>
      <c r="H4" s="5" t="n"/>
      <c r="I4" s="5" t="n"/>
      <c r="J4" s="5" t="n"/>
      <c r="K4" s="5" t="n"/>
      <c r="L4" s="5" t="n"/>
      <c r="M4" s="5" t="n"/>
      <c r="N4" s="5" t="n"/>
      <c r="O4" s="4" t="n"/>
      <c r="P4" s="2" t="n"/>
      <c r="AC4" s="2" t="n"/>
    </row>
    <row r="5" ht="24" customHeight="1">
      <c r="A5" s="15" t="n">
        <v>1</v>
      </c>
      <c r="B5" s="10" t="inlineStr">
        <is>
          <t>個人外貌特徵 (Personal Description)</t>
        </is>
      </c>
      <c r="C5" s="12" t="inlineStr">
        <is>
          <t>-</t>
        </is>
      </c>
      <c r="D5" s="16" t="inlineStr">
        <is>
          <t>身材結實勻稱，神情沉著警覺。常穿深灰色雙排扣風衣與呢帽，內襯平整，隨身攜帶皮革槍套與速記本。眼神銳利，帶著長期在暗處蹲點的深沉。</t>
        </is>
      </c>
      <c r="E5" s="5" t="n"/>
      <c r="F5" s="5" t="n"/>
      <c r="G5" s="16" t="n"/>
      <c r="H5" s="5" t="n"/>
      <c r="I5" s="5" t="n"/>
      <c r="J5" s="5" t="n"/>
      <c r="K5" s="5" t="n"/>
      <c r="L5" s="5" t="n"/>
      <c r="M5" s="5" t="n"/>
      <c r="N5" s="5" t="n"/>
      <c r="O5" s="4" t="n"/>
      <c r="P5" s="2" t="n"/>
      <c r="AC5" s="2" t="n"/>
    </row>
    <row r="6" ht="24" customHeight="1">
      <c r="A6" s="40" t="n">
        <v>2</v>
      </c>
      <c r="B6" s="25" t="inlineStr">
        <is>
          <t>意識形態與信念 (Ideology / Beliefs)</t>
        </is>
      </c>
      <c r="C6" s="20" t="inlineStr">
        <is>
          <t>-</t>
        </is>
      </c>
      <c r="D6" s="16" t="inlineStr">
        <is>
          <t>「真相隱藏在微小的細節與陰影深處，沒有任何偽裝能經受住嚴密的邏輯剖析。」</t>
        </is>
      </c>
      <c r="E6" s="11" t="n"/>
      <c r="F6" s="5" t="n"/>
      <c r="G6" s="16" t="n"/>
      <c r="H6" s="5" t="n"/>
      <c r="I6" s="5" t="n"/>
      <c r="J6" s="5" t="n"/>
      <c r="K6" s="5" t="n"/>
      <c r="L6" s="5" t="n"/>
      <c r="M6" s="5" t="n"/>
      <c r="N6" s="5" t="n"/>
      <c r="O6" s="4" t="n"/>
      <c r="P6" s="2" t="n"/>
      <c r="Q6" s="3" t="n"/>
      <c r="R6" s="5" t="n"/>
      <c r="S6" s="5" t="n"/>
      <c r="T6" s="5" t="n"/>
      <c r="U6" s="5" t="n"/>
      <c r="V6" s="5" t="n"/>
      <c r="W6" s="5" t="n"/>
      <c r="X6" s="5" t="n"/>
      <c r="Y6" s="5" t="n"/>
      <c r="Z6" s="5" t="n"/>
      <c r="AA6" s="5" t="n"/>
      <c r="AC6" s="2" t="n"/>
      <c r="AD6" s="3" t="n"/>
      <c r="AE6" s="5" t="n"/>
      <c r="AF6" s="5" t="n"/>
      <c r="AG6" s="5" t="n"/>
      <c r="AH6" s="5" t="n"/>
      <c r="AI6" s="5" t="n"/>
      <c r="AJ6" s="5" t="n"/>
    </row>
    <row r="7" ht="24" customHeight="1">
      <c r="A7" s="15" t="n">
        <v>3</v>
      </c>
      <c r="B7" s="10" t="inlineStr">
        <is>
          <t>重要之人 (Significant People)</t>
        </is>
      </c>
      <c r="C7" s="22" t="inlineStr">
        <is>
          <t>★ 精神錨點</t>
        </is>
      </c>
      <c r="D7" s="16" t="inlineStr">
        <is>
          <t>老搭檔 湯瑪斯·卡特 (Thomas Carter，前波士頓巡警，現於阿卡姆經營報攤，多次生死與共)。</t>
        </is>
      </c>
      <c r="E7" s="11" t="n"/>
      <c r="F7" s="29" t="n"/>
      <c r="G7" s="16" t="n"/>
      <c r="H7" s="5" t="n"/>
      <c r="I7" s="5" t="n"/>
      <c r="J7" s="5" t="n"/>
      <c r="K7" s="5" t="n"/>
      <c r="L7" s="5" t="n"/>
      <c r="M7" s="5" t="n"/>
      <c r="N7" s="5" t="n"/>
      <c r="O7" s="4" t="n"/>
      <c r="P7" s="2" t="n"/>
      <c r="Q7" s="3" t="n"/>
      <c r="R7" s="5" t="n"/>
      <c r="S7" s="5" t="n"/>
      <c r="T7" s="5" t="n"/>
      <c r="U7" s="5" t="n"/>
      <c r="V7" s="5" t="n"/>
      <c r="W7" s="5" t="n"/>
      <c r="X7" s="5" t="n"/>
      <c r="Y7" s="5" t="n"/>
      <c r="Z7" s="5" t="n"/>
      <c r="AA7" s="5" t="n"/>
      <c r="AC7" s="2" t="n"/>
      <c r="AD7" s="3" t="n"/>
      <c r="AE7" s="5" t="n"/>
      <c r="AF7" s="5" t="n"/>
      <c r="AG7" s="5" t="n"/>
      <c r="AH7" s="5" t="n"/>
      <c r="AI7" s="5" t="n"/>
      <c r="AJ7" s="5" t="n"/>
    </row>
    <row r="8" ht="24" customHeight="1">
      <c r="A8" s="40" t="n">
        <v>4</v>
      </c>
      <c r="B8" s="25" t="inlineStr">
        <is>
          <t>意義非凡之地 (Meaningful Locations)</t>
        </is>
      </c>
      <c r="C8" s="20" t="inlineStr">
        <is>
          <t>-</t>
        </is>
      </c>
      <c r="D8" s="16" t="inlineStr">
        <is>
          <t>阿卡姆浸信會街42號的皮爾斯私家偵探事務所，那是他在這座迷霧城市中唯一的避風港與檔案室。</t>
        </is>
      </c>
      <c r="E8" s="11" t="n"/>
      <c r="F8" s="29" t="n"/>
      <c r="G8" s="16" t="n"/>
      <c r="H8" s="5" t="n"/>
      <c r="I8" s="5" t="n"/>
      <c r="J8" s="5" t="n"/>
      <c r="K8" s="5" t="n"/>
      <c r="L8" s="5" t="n"/>
      <c r="M8" s="5" t="n"/>
      <c r="N8" s="5" t="n"/>
      <c r="O8" s="4" t="n"/>
      <c r="P8" s="2" t="n"/>
      <c r="AC8" s="2" t="n"/>
      <c r="AD8" s="3" t="n"/>
      <c r="AE8" s="5" t="n"/>
      <c r="AF8" s="5" t="n"/>
      <c r="AG8" s="5" t="n"/>
      <c r="AH8" s="5" t="n"/>
      <c r="AI8" s="5" t="n"/>
      <c r="AJ8" s="5" t="n"/>
    </row>
    <row r="9" ht="24" customHeight="1">
      <c r="A9" s="15" t="n">
        <v>5</v>
      </c>
      <c r="B9" s="10" t="inlineStr">
        <is>
          <t>珍視之物 (Treasured Possessions)</t>
        </is>
      </c>
      <c r="C9" s="12" t="inlineStr">
        <is>
          <t>-</t>
        </is>
      </c>
      <c r="D9" s="33" t="inlineStr">
        <is>
          <t>一枚刻有一戰阿爾貢森林戰役編號的純銀軍用懷錶，指針永遠滴答走動，提醒自己時刻保持冷靜。</t>
        </is>
      </c>
      <c r="G9" s="33" t="n"/>
    </row>
    <row r="10" ht="24" customHeight="1">
      <c r="A10" s="40" t="n">
        <v>6</v>
      </c>
      <c r="B10" s="25" t="inlineStr">
        <is>
          <t>個人特質 (Traits)</t>
        </is>
      </c>
      <c r="C10" s="20" t="inlineStr">
        <is>
          <t>-</t>
        </is>
      </c>
      <c r="D10" s="33" t="inlineStr">
        <is>
          <t>執著、敏銳、擅長捕捉他人說謊時的微表情，在極度危險下反而更顯冷靜。</t>
        </is>
      </c>
      <c r="G10" s="33" t="n"/>
    </row>
    <row r="11" ht="24" customHeight="1">
      <c r="A11" s="15" t="n">
        <v>7</v>
      </c>
      <c r="B11" s="10" t="inlineStr">
        <is>
          <t>傷痕與疤痕 (Injuries &amp; Scars)</t>
        </is>
      </c>
      <c r="C11" s="12" t="inlineStr">
        <is>
          <t>-</t>
        </is>
      </c>
      <c r="D11" s="33" t="inlineStr">
        <is>
          <t>右側肩膀有一道陳舊的流彈擦傷疤痕，每逢陰雨天會隱隱作痛。</t>
        </is>
      </c>
      <c r="G11" s="33" t="n"/>
    </row>
    <row r="12" ht="24" customHeight="1">
      <c r="A12" s="40" t="n">
        <v>8</v>
      </c>
      <c r="B12" s="25" t="inlineStr">
        <is>
          <t>恐懼症與狂熱症 (Phobias &amp; Manias)</t>
        </is>
      </c>
      <c r="C12" s="20" t="inlineStr">
        <is>
          <t>-</t>
        </is>
      </c>
      <c r="D12" s="33" t="inlineStr">
        <is>
          <t>無 (精神健常，但對過度幽閉且不見天日的深水水域抱有本能戒心)。</t>
        </is>
      </c>
      <c r="G12" s="33" t="n"/>
    </row>
    <row r="13" ht="24" customHeight="1">
      <c r="A13" s="15" t="n">
        <v>9</v>
      </c>
      <c r="B13" s="10" t="inlineStr">
        <is>
          <t>神秘典籍與神器 (Arcane Tomes &amp; Artifacts)</t>
        </is>
      </c>
      <c r="C13" s="12" t="inlineStr">
        <is>
          <t>-</t>
        </is>
      </c>
      <c r="D13" s="33" t="inlineStr">
        <is>
          <t>一本用油布包裹的老舊私人調查手記，裡面記錄著幾起阿卡姆無法結案的失蹤懸案。</t>
        </is>
      </c>
      <c r="G13" s="33" t="n"/>
    </row>
    <row r="14" ht="24" customHeight="1">
      <c r="A14" s="40" t="n">
        <v>10</v>
      </c>
      <c r="B14" s="25" t="inlineStr">
        <is>
          <t>遭遇超自然實體紀錄 (Strange Entities)</t>
        </is>
      </c>
      <c r="C14" s="20" t="inlineStr">
        <is>
          <t>-</t>
        </is>
      </c>
      <c r="D14" s="33" t="inlineStr">
        <is>
          <t>曾在密斯卡托尼克河畔的廢棄倉庫外，於濃霧中目睹過非人的龐大水棲輪廓掠過。</t>
        </is>
      </c>
      <c r="G14" s="33" t="n"/>
    </row>
    <row r="15" ht="28" customHeight="1">
      <c r="A15" s="41" t="inlineStr">
        <is>
          <t>💡 精神關鍵連結說明: 玩家在上方挑選一項作為精神錨點。團間休整與其互動可檢定回復 1D6 SAN；若錨點遭毀壞將直接扣減 1D6 SAN。
💡 心智質變改寫: 當調查員陷入質變 (Changed) 狀態時，在團後休整期必須永久改寫上方其中一項背景要素以解除質變狀態。</t>
        </is>
      </c>
    </row>
    <row r="16" ht="22" customHeight="1">
      <c r="A16" s="7" t="inlineStr">
        <is>
          <t>⚡ 震懾 (Shock) 與 心智質變 (Changed) 歷程記錄簿 (Mental Trauma Log - Companion p.87-93)</t>
        </is>
      </c>
    </row>
    <row r="17" ht="20" customHeight="1">
      <c r="A17" s="19" t="inlineStr">
        <is>
          <t>日期/劇本</t>
        </is>
      </c>
      <c r="B17" s="18" t="inlineStr">
        <is>
          <t>遭遇恐怖事件 / 刺激源</t>
        </is>
      </c>
      <c r="D17" s="19" t="inlineStr">
        <is>
          <t>SAN 損失</t>
        </is>
      </c>
      <c r="E17" s="19" t="inlineStr">
        <is>
          <t>5F 震懾反應</t>
        </is>
      </c>
      <c r="F17" s="18" t="inlineStr">
        <is>
          <t>餘波幻覺 (Delusion) 表現</t>
        </is>
      </c>
      <c r="H17" s="19" t="inlineStr">
        <is>
          <t>質變改寫處置</t>
        </is>
      </c>
    </row>
    <row r="18" ht="20" customHeight="1">
      <c r="A18" s="15" t="inlineStr">
        <is>
          <t>第 1 幕</t>
        </is>
      </c>
      <c r="B18" s="33" t="n"/>
      <c r="D18" s="15" t="n"/>
      <c r="E18" s="15" t="n"/>
      <c r="F18" s="33" t="n"/>
      <c r="H18" s="16" t="n"/>
    </row>
    <row r="19" ht="20" customHeight="1">
      <c r="A19" s="40" t="inlineStr">
        <is>
          <t>第 2 幕</t>
        </is>
      </c>
      <c r="B19" s="33" t="n"/>
      <c r="D19" s="15" t="n"/>
      <c r="E19" s="15" t="n"/>
      <c r="F19" s="33" t="n"/>
      <c r="H19" s="16" t="n"/>
    </row>
    <row r="20" ht="20" customHeight="1">
      <c r="A20" s="15" t="inlineStr">
        <is>
          <t>第 3 幕</t>
        </is>
      </c>
      <c r="B20" s="33" t="n"/>
      <c r="D20" s="15" t="n"/>
      <c r="E20" s="15" t="n"/>
      <c r="F20" s="33" t="n"/>
      <c r="H20" s="16" t="n"/>
    </row>
    <row r="21" ht="20" customHeight="1">
      <c r="A21" s="40" t="inlineStr">
        <is>
          <t>第 4 幕</t>
        </is>
      </c>
      <c r="B21" s="33" t="n"/>
      <c r="D21" s="15" t="n"/>
      <c r="E21" s="15" t="n"/>
      <c r="F21" s="33" t="n"/>
      <c r="H21" s="16" t="n"/>
    </row>
    <row r="22" ht="20" customHeight="1">
      <c r="A22" s="15" t="inlineStr">
        <is>
          <t>第 5 幕</t>
        </is>
      </c>
      <c r="B22" s="33" t="n"/>
      <c r="D22" s="15" t="n"/>
      <c r="E22" s="15" t="n"/>
      <c r="F22" s="33" t="n"/>
      <c r="H22" s="16" t="n"/>
    </row>
    <row r="23" ht="20" customHeight="1">
      <c r="A23" s="40" t="inlineStr">
        <is>
          <t>第 6 幕</t>
        </is>
      </c>
      <c r="B23" s="33" t="n"/>
      <c r="D23" s="15" t="n"/>
      <c r="E23" s="15" t="n"/>
      <c r="F23" s="33" t="n"/>
      <c r="H23" s="16" t="n"/>
    </row>
    <row r="24" ht="20" customHeight="1">
      <c r="A24" s="15" t="inlineStr">
        <is>
          <t>第 7 幕</t>
        </is>
      </c>
      <c r="B24" s="33" t="n"/>
      <c r="D24" s="15" t="n"/>
      <c r="E24" s="15" t="n"/>
      <c r="F24" s="33" t="n"/>
      <c r="H24" s="16" t="n"/>
    </row>
    <row r="25" ht="20" customHeight="1">
      <c r="A25" s="40" t="inlineStr">
        <is>
          <t>第 8 幕</t>
        </is>
      </c>
      <c r="B25" s="33" t="n"/>
      <c r="D25" s="15" t="n"/>
      <c r="E25" s="15" t="n"/>
      <c r="F25" s="33" t="n"/>
      <c r="H25" s="16" t="n"/>
    </row>
    <row r="26" ht="20" customHeight="1">
      <c r="A26" s="15" t="inlineStr">
        <is>
          <t>第 9 幕</t>
        </is>
      </c>
      <c r="B26" s="33" t="n"/>
      <c r="D26" s="15" t="n"/>
      <c r="E26" s="15" t="n"/>
      <c r="F26" s="33" t="n"/>
      <c r="H26" s="16" t="n"/>
    </row>
    <row r="27" ht="20" customHeight="1">
      <c r="A27" s="40" t="inlineStr">
        <is>
          <t>第 10 幕</t>
        </is>
      </c>
      <c r="B27" s="33" t="n"/>
      <c r="D27" s="15" t="n"/>
      <c r="E27" s="15" t="n"/>
      <c r="F27" s="33" t="n"/>
      <c r="H27" s="16" t="n"/>
    </row>
    <row r="29" ht="22" customHeight="1">
      <c r="A29" s="7" t="inlineStr">
        <is>
          <t>📜 神秘學典籍研讀與習得法術清單 (Arcane Tomes &amp; Learned Spells)</t>
        </is>
      </c>
    </row>
    <row r="30" ht="20" customHeight="1">
      <c r="A30" s="18" t="inlineStr">
        <is>
          <t>法術/典籍名稱</t>
        </is>
      </c>
      <c r="C30" s="19" t="inlineStr">
        <is>
          <t>類型</t>
        </is>
      </c>
      <c r="D30" s="19" t="inlineStr">
        <is>
          <t>施法消耗 (MP/SAN)</t>
        </is>
      </c>
      <c r="E30" s="19" t="inlineStr">
        <is>
          <t>施法時間</t>
        </is>
      </c>
      <c r="F30" s="18" t="inlineStr">
        <is>
          <t>法術效果與限制描述</t>
        </is>
      </c>
    </row>
    <row r="31" ht="20" customHeight="1">
      <c r="A31" s="33" t="n"/>
      <c r="C31" s="15" t="n"/>
      <c r="D31" s="15" t="n"/>
      <c r="E31" s="15" t="n"/>
      <c r="F31" s="33" t="n"/>
    </row>
    <row r="32" ht="20" customHeight="1">
      <c r="A32" s="33" t="n"/>
      <c r="C32" s="40" t="n"/>
      <c r="D32" s="15" t="n"/>
      <c r="E32" s="40" t="n"/>
      <c r="F32" s="33" t="n"/>
    </row>
    <row r="33" ht="20" customHeight="1">
      <c r="A33" s="33" t="n"/>
      <c r="C33" s="15" t="n"/>
      <c r="D33" s="15" t="n"/>
      <c r="E33" s="15" t="n"/>
      <c r="F33" s="33" t="n"/>
    </row>
    <row r="34" ht="20" customHeight="1">
      <c r="A34" s="33" t="n"/>
      <c r="C34" s="40" t="n"/>
      <c r="D34" s="15" t="n"/>
      <c r="E34" s="40" t="n"/>
      <c r="F34" s="33" t="n"/>
    </row>
    <row r="35" ht="20" customHeight="1">
      <c r="A35" s="33" t="n"/>
      <c r="C35" s="15" t="n"/>
      <c r="D35" s="15" t="n"/>
      <c r="E35" s="15" t="n"/>
      <c r="F35" s="33" t="n"/>
    </row>
    <row r="36" ht="20" customHeight="1">
      <c r="A36" s="33" t="n"/>
      <c r="C36" s="40" t="n"/>
      <c r="D36" s="15" t="n"/>
      <c r="E36" s="40" t="n"/>
      <c r="F36" s="33" t="n"/>
    </row>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sheetData>
  <mergeCells count="64">
    <mergeCell ref="A31:B31"/>
    <mergeCell ref="A30:B30"/>
    <mergeCell ref="D11:F11"/>
    <mergeCell ref="G12:H12"/>
    <mergeCell ref="D13:F13"/>
    <mergeCell ref="A15:H15"/>
    <mergeCell ref="B25:C25"/>
    <mergeCell ref="F33:H33"/>
    <mergeCell ref="F36:H36"/>
    <mergeCell ref="G11:H11"/>
    <mergeCell ref="F19:G19"/>
    <mergeCell ref="F25:G25"/>
    <mergeCell ref="F32:H32"/>
    <mergeCell ref="F35:H35"/>
    <mergeCell ref="B22:C22"/>
    <mergeCell ref="A36:B36"/>
    <mergeCell ref="A1:H1"/>
    <mergeCell ref="G8:H8"/>
    <mergeCell ref="D7:F7"/>
    <mergeCell ref="B18:C18"/>
    <mergeCell ref="B27:C27"/>
    <mergeCell ref="F21:G21"/>
    <mergeCell ref="B21:C21"/>
    <mergeCell ref="F24:G24"/>
    <mergeCell ref="G7:H7"/>
    <mergeCell ref="F31:H31"/>
    <mergeCell ref="G10:H10"/>
    <mergeCell ref="D4:F4"/>
    <mergeCell ref="A16:H16"/>
    <mergeCell ref="F18:G18"/>
    <mergeCell ref="D12:F12"/>
    <mergeCell ref="F20:G20"/>
    <mergeCell ref="B23:C23"/>
    <mergeCell ref="D9:F9"/>
    <mergeCell ref="F30:H30"/>
    <mergeCell ref="G6:H6"/>
    <mergeCell ref="G13:H13"/>
    <mergeCell ref="B17:C17"/>
    <mergeCell ref="D8:F8"/>
    <mergeCell ref="F26:G26"/>
    <mergeCell ref="F17:G17"/>
    <mergeCell ref="A3:H3"/>
    <mergeCell ref="D14:F14"/>
    <mergeCell ref="D5:F5"/>
    <mergeCell ref="B19:C19"/>
    <mergeCell ref="A2:H2"/>
    <mergeCell ref="A33:B33"/>
    <mergeCell ref="F23:G23"/>
    <mergeCell ref="G5:H5"/>
    <mergeCell ref="A32:B32"/>
    <mergeCell ref="G14:H14"/>
    <mergeCell ref="F22:G22"/>
    <mergeCell ref="F27:G27"/>
    <mergeCell ref="D10:F10"/>
    <mergeCell ref="F34:H34"/>
    <mergeCell ref="G4:H4"/>
    <mergeCell ref="A35:B35"/>
    <mergeCell ref="B24:C24"/>
    <mergeCell ref="A29:H29"/>
    <mergeCell ref="B20:C20"/>
    <mergeCell ref="B26:C26"/>
    <mergeCell ref="G9:H9"/>
    <mergeCell ref="D6:F6"/>
    <mergeCell ref="A34:B34"/>
  </mergeCells>
  <dataValidations count="1">
    <dataValidation sqref="C5 C6 C7 C8 C9 C10 C11 C12 C13 C14" showDropDown="0" showInputMessage="0" showErrorMessage="0" allowBlank="1" type="list">
      <formula1>"★ 精神錨點,-"</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9"/>
  <sheetViews>
    <sheetView showGridLines="1" workbookViewId="0">
      <selection activeCell="A1" sqref="A1"/>
    </sheetView>
  </sheetViews>
  <sheetFormatPr baseColWidth="8" defaultRowHeight="15"/>
  <cols>
    <col width="5" customWidth="1" min="1" max="1"/>
    <col width="22" customWidth="1" min="2" max="2"/>
    <col width="8" customWidth="1" min="3" max="3"/>
    <col width="8" customWidth="1" min="4" max="4"/>
    <col width="10" customWidth="1" min="5" max="5"/>
    <col width="8" customWidth="1" min="6" max="6"/>
    <col width="8" customWidth="1" min="7" max="7"/>
    <col width="12" customWidth="1" min="8" max="8"/>
    <col width="5" customWidth="1" min="9" max="9"/>
    <col width="20" customWidth="1" min="10" max="10"/>
    <col width="12" customWidth="1" min="11" max="11"/>
    <col width="10" customWidth="1" min="12" max="12"/>
    <col width="10" customWidth="1" min="13" max="13"/>
    <col width="10"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8" customHeight="1">
      <c r="A1" s="1" t="inlineStr">
        <is>
          <t>🏛️ MISKATONIC UNIVERSITY • INVESTIGATOR DOSSIER: GROWTH &amp; CAMPAIGN LOG</t>
        </is>
      </c>
      <c r="C1" s="2" t="n"/>
    </row>
    <row r="2" ht="20" customHeight="1">
      <c r="A2" s="6" t="inlineStr">
        <is>
          <t>【 團後技能成長結算紀錄簿 與 模組冒險通關日誌 (INVESTIGATOR GROWTH ARCHIVES) 】</t>
        </is>
      </c>
      <c r="C2" s="2" t="n"/>
    </row>
    <row r="3" ht="22" customHeight="1">
      <c r="A3" s="7" t="inlineStr">
        <is>
          <t>📈 團後技能成長檢定計算器 (Skill Improvement Rolls)</t>
        </is>
      </c>
      <c r="C3" s="2" t="n"/>
      <c r="I3" s="7" t="inlineStr">
        <is>
          <t>🗺️ 劇本通關歷程與經歷日誌 (Scenario Chronicles &amp; Awards)</t>
        </is>
      </c>
    </row>
    <row r="4" ht="20" customHeight="1">
      <c r="A4" s="19" t="inlineStr">
        <is>
          <t>序號</t>
        </is>
      </c>
      <c r="B4" s="19" t="inlineStr">
        <is>
          <t>待成長技能名稱</t>
        </is>
      </c>
      <c r="C4" s="19" t="inlineStr">
        <is>
          <t>當前總值</t>
        </is>
      </c>
      <c r="D4" s="19" t="inlineStr">
        <is>
          <t>1D100檢定</t>
        </is>
      </c>
      <c r="E4" s="19" t="inlineStr">
        <is>
          <t>成長判定</t>
        </is>
      </c>
      <c r="F4" s="19" t="inlineStr">
        <is>
          <t>增長1D10</t>
        </is>
      </c>
      <c r="G4" s="19" t="inlineStr">
        <is>
          <t>成長後新值</t>
        </is>
      </c>
      <c r="H4" s="19" t="inlineStr">
        <is>
          <t>Discord紀錄</t>
        </is>
      </c>
      <c r="I4" s="19" t="inlineStr">
        <is>
          <t>序號</t>
        </is>
      </c>
      <c r="J4" s="19" t="inlineStr">
        <is>
          <t>模組/劇本名稱</t>
        </is>
      </c>
      <c r="K4" s="19" t="inlineStr">
        <is>
          <t>日期 / KP</t>
        </is>
      </c>
      <c r="L4" s="19" t="inlineStr">
        <is>
          <t>SAN 獎懲</t>
        </is>
      </c>
      <c r="M4" s="19" t="inlineStr">
        <is>
          <t>神話獎勵</t>
        </is>
      </c>
      <c r="N4" s="19" t="inlineStr">
        <is>
          <t>幸運獎勵</t>
        </is>
      </c>
      <c r="O4" s="18" t="inlineStr">
        <is>
          <t>後續影響與調查員經歷簡記</t>
        </is>
      </c>
    </row>
    <row r="5" ht="20" customHeight="1">
      <c r="A5" s="15" t="n">
        <v>1</v>
      </c>
      <c r="B5" s="10" t="n"/>
      <c r="C5" s="15" t="n"/>
      <c r="D5" s="15" t="n"/>
      <c r="E5" s="22">
        <f>IF(ISBLANK(D5), "", IF(OR(D5&gt;C5, D5&gt;=96), "增長成功 ✔", "未增長 ✘"))</f>
        <v/>
      </c>
      <c r="F5" s="12" t="n"/>
      <c r="G5" s="22">
        <f>IF(ISBLANK(C5), "", C5 + IF(ISBLANK(F5), 0, F5))</f>
        <v/>
      </c>
      <c r="H5" s="44" t="n"/>
      <c r="I5" s="15" t="n">
        <v>1</v>
      </c>
      <c r="J5" s="10" t="n"/>
      <c r="K5" s="15" t="n"/>
      <c r="L5" s="15" t="n"/>
      <c r="M5" s="15" t="n"/>
      <c r="N5" s="15" t="n"/>
      <c r="O5" s="33" t="n"/>
    </row>
    <row r="6" ht="20" customHeight="1">
      <c r="A6" s="40" t="n">
        <v>2</v>
      </c>
      <c r="B6" s="10" t="n"/>
      <c r="C6" s="15" t="n"/>
      <c r="D6" s="15" t="n"/>
      <c r="E6" s="22">
        <f>IF(ISBLANK(D6), "", IF(OR(D6&gt;C6, D6&gt;=96), "增長成功 ✔", "未增長 ✘"))</f>
        <v/>
      </c>
      <c r="F6" s="12" t="n"/>
      <c r="G6" s="22">
        <f>IF(ISBLANK(C6), "", C6 + IF(ISBLANK(F6), 0, F6))</f>
        <v/>
      </c>
      <c r="H6" s="44" t="n"/>
      <c r="I6" s="40" t="n">
        <v>2</v>
      </c>
      <c r="J6" s="10" t="n"/>
      <c r="K6" s="15" t="n"/>
      <c r="L6" s="15" t="n"/>
      <c r="M6" s="15" t="n"/>
      <c r="N6" s="15" t="n"/>
      <c r="O6" s="33" t="n"/>
    </row>
    <row r="7" ht="20" customHeight="1">
      <c r="A7" s="15" t="n">
        <v>3</v>
      </c>
      <c r="B7" s="10" t="n"/>
      <c r="C7" s="15" t="n"/>
      <c r="D7" s="15" t="n"/>
      <c r="E7" s="22">
        <f>IF(ISBLANK(D7), "", IF(OR(D7&gt;C7, D7&gt;=96), "增長成功 ✔", "未增長 ✘"))</f>
        <v/>
      </c>
      <c r="F7" s="12" t="n"/>
      <c r="G7" s="22">
        <f>IF(ISBLANK(C7), "", C7 + IF(ISBLANK(F7), 0, F7))</f>
        <v/>
      </c>
      <c r="H7" s="44" t="n"/>
      <c r="I7" s="15" t="n">
        <v>3</v>
      </c>
      <c r="J7" s="10" t="n"/>
      <c r="K7" s="15" t="n"/>
      <c r="L7" s="15" t="n"/>
      <c r="M7" s="15" t="n"/>
      <c r="N7" s="15" t="n"/>
      <c r="O7" s="33" t="n"/>
    </row>
    <row r="8" ht="20" customHeight="1">
      <c r="A8" s="40" t="n">
        <v>4</v>
      </c>
      <c r="B8" s="10" t="n"/>
      <c r="C8" s="15" t="n"/>
      <c r="D8" s="15" t="n"/>
      <c r="E8" s="22">
        <f>IF(ISBLANK(D8), "", IF(OR(D8&gt;C8, D8&gt;=96), "增長成功 ✔", "未增長 ✘"))</f>
        <v/>
      </c>
      <c r="F8" s="12" t="n"/>
      <c r="G8" s="22">
        <f>IF(ISBLANK(C8), "", C8 + IF(ISBLANK(F8), 0, F8))</f>
        <v/>
      </c>
      <c r="H8" s="44" t="n"/>
      <c r="I8" s="40" t="n">
        <v>4</v>
      </c>
      <c r="J8" s="10" t="n"/>
      <c r="K8" s="15" t="n"/>
      <c r="L8" s="15" t="n"/>
      <c r="M8" s="15" t="n"/>
      <c r="N8" s="15" t="n"/>
      <c r="O8" s="33" t="n"/>
    </row>
    <row r="9" ht="20" customHeight="1">
      <c r="A9" s="15" t="n">
        <v>5</v>
      </c>
      <c r="B9" s="10" t="n"/>
      <c r="C9" s="15" t="n"/>
      <c r="D9" s="15" t="n"/>
      <c r="E9" s="22">
        <f>IF(ISBLANK(D9), "", IF(OR(D9&gt;C9, D9&gt;=96), "增長成功 ✔", "未增長 ✘"))</f>
        <v/>
      </c>
      <c r="F9" s="12" t="n"/>
      <c r="G9" s="22">
        <f>IF(ISBLANK(C9), "", C9 + IF(ISBLANK(F9), 0, F9))</f>
        <v/>
      </c>
      <c r="H9" s="44" t="n"/>
      <c r="I9" s="15" t="n">
        <v>5</v>
      </c>
      <c r="J9" s="10" t="n"/>
      <c r="K9" s="15" t="n"/>
      <c r="L9" s="15" t="n"/>
      <c r="M9" s="15" t="n"/>
      <c r="N9" s="15" t="n"/>
      <c r="O9" s="33" t="n"/>
    </row>
    <row r="10" ht="20" customHeight="1">
      <c r="A10" s="40" t="n">
        <v>6</v>
      </c>
      <c r="B10" s="10" t="n"/>
      <c r="C10" s="15" t="n"/>
      <c r="D10" s="15" t="n"/>
      <c r="E10" s="22">
        <f>IF(ISBLANK(D10), "", IF(OR(D10&gt;C10, D10&gt;=96), "增長成功 ✔", "未增長 ✘"))</f>
        <v/>
      </c>
      <c r="F10" s="12" t="n"/>
      <c r="G10" s="22">
        <f>IF(ISBLANK(C10), "", C10 + IF(ISBLANK(F10), 0, F10))</f>
        <v/>
      </c>
      <c r="H10" s="44" t="n"/>
      <c r="I10" s="40" t="n">
        <v>6</v>
      </c>
      <c r="J10" s="10" t="n"/>
      <c r="K10" s="15" t="n"/>
      <c r="L10" s="15" t="n"/>
      <c r="M10" s="15" t="n"/>
      <c r="N10" s="15" t="n"/>
      <c r="O10" s="33" t="n"/>
    </row>
    <row r="11" ht="20" customHeight="1">
      <c r="A11" s="15" t="n">
        <v>7</v>
      </c>
      <c r="B11" s="10" t="n"/>
      <c r="C11" s="15" t="n"/>
      <c r="D11" s="15" t="n"/>
      <c r="E11" s="22">
        <f>IF(ISBLANK(D11), "", IF(OR(D11&gt;C11, D11&gt;=96), "增長成功 ✔", "未增長 ✘"))</f>
        <v/>
      </c>
      <c r="F11" s="12" t="n"/>
      <c r="G11" s="22">
        <f>IF(ISBLANK(C11), "", C11 + IF(ISBLANK(F11), 0, F11))</f>
        <v/>
      </c>
      <c r="H11" s="44" t="n"/>
      <c r="I11" s="15" t="n">
        <v>7</v>
      </c>
      <c r="J11" s="10" t="n"/>
      <c r="K11" s="15" t="n"/>
      <c r="L11" s="15" t="n"/>
      <c r="M11" s="15" t="n"/>
      <c r="N11" s="15" t="n"/>
      <c r="O11" s="33" t="n"/>
    </row>
    <row r="12" ht="20" customHeight="1">
      <c r="A12" s="40" t="n">
        <v>8</v>
      </c>
      <c r="B12" s="10" t="n"/>
      <c r="C12" s="15" t="n"/>
      <c r="D12" s="15" t="n"/>
      <c r="E12" s="22">
        <f>IF(ISBLANK(D12), "", IF(OR(D12&gt;C12, D12&gt;=96), "增長成功 ✔", "未增長 ✘"))</f>
        <v/>
      </c>
      <c r="F12" s="12" t="n"/>
      <c r="G12" s="22">
        <f>IF(ISBLANK(C12), "", C12 + IF(ISBLANK(F12), 0, F12))</f>
        <v/>
      </c>
      <c r="H12" s="44" t="n"/>
      <c r="I12" s="40" t="n">
        <v>8</v>
      </c>
      <c r="J12" s="10" t="n"/>
      <c r="K12" s="15" t="n"/>
      <c r="L12" s="15" t="n"/>
      <c r="M12" s="15" t="n"/>
      <c r="N12" s="15" t="n"/>
      <c r="O12" s="33" t="n"/>
    </row>
    <row r="13" ht="20" customHeight="1">
      <c r="A13" s="15" t="n">
        <v>9</v>
      </c>
      <c r="B13" s="10" t="n"/>
      <c r="C13" s="15" t="n"/>
      <c r="D13" s="15" t="n"/>
      <c r="E13" s="22">
        <f>IF(ISBLANK(D13), "", IF(OR(D13&gt;C13, D13&gt;=96), "增長成功 ✔", "未增長 ✘"))</f>
        <v/>
      </c>
      <c r="F13" s="12" t="n"/>
      <c r="G13" s="22">
        <f>IF(ISBLANK(C13), "", C13 + IF(ISBLANK(F13), 0, F13))</f>
        <v/>
      </c>
      <c r="H13" s="44" t="n"/>
      <c r="I13" s="15" t="n">
        <v>9</v>
      </c>
      <c r="J13" s="10" t="n"/>
      <c r="K13" s="15" t="n"/>
      <c r="L13" s="15" t="n"/>
      <c r="M13" s="15" t="n"/>
      <c r="N13" s="15" t="n"/>
      <c r="O13" s="33" t="n"/>
    </row>
    <row r="14" ht="20" customHeight="1">
      <c r="A14" s="40" t="n">
        <v>10</v>
      </c>
      <c r="B14" s="10" t="n"/>
      <c r="C14" s="15" t="n"/>
      <c r="D14" s="15" t="n"/>
      <c r="E14" s="22">
        <f>IF(ISBLANK(D14), "", IF(OR(D14&gt;C14, D14&gt;=96), "增長成功 ✔", "未增長 ✘"))</f>
        <v/>
      </c>
      <c r="F14" s="12" t="n"/>
      <c r="G14" s="22">
        <f>IF(ISBLANK(C14), "", C14 + IF(ISBLANK(F14), 0, F14))</f>
        <v/>
      </c>
      <c r="H14" s="44" t="n"/>
      <c r="I14" s="40" t="n">
        <v>10</v>
      </c>
      <c r="J14" s="10" t="n"/>
      <c r="K14" s="15" t="n"/>
      <c r="L14" s="15" t="n"/>
      <c r="M14" s="15" t="n"/>
      <c r="N14" s="15" t="n"/>
      <c r="O14" s="33" t="n"/>
    </row>
    <row r="15" ht="20" customHeight="1">
      <c r="A15" s="15" t="n">
        <v>11</v>
      </c>
      <c r="B15" s="10" t="n"/>
      <c r="C15" s="15" t="n"/>
      <c r="D15" s="15" t="n"/>
      <c r="E15" s="22">
        <f>IF(ISBLANK(D15), "", IF(OR(D15&gt;C15, D15&gt;=96), "增長成功 ✔", "未增長 ✘"))</f>
        <v/>
      </c>
      <c r="F15" s="12" t="n"/>
      <c r="G15" s="22">
        <f>IF(ISBLANK(C15), "", C15 + IF(ISBLANK(F15), 0, F15))</f>
        <v/>
      </c>
      <c r="H15" s="44" t="n"/>
      <c r="I15" s="15" t="n">
        <v>11</v>
      </c>
      <c r="J15" s="10" t="n"/>
      <c r="K15" s="15" t="n"/>
      <c r="L15" s="15" t="n"/>
      <c r="M15" s="15" t="n"/>
      <c r="N15" s="15" t="n"/>
      <c r="O15" s="16" t="n"/>
      <c r="P15" s="5" t="n"/>
      <c r="Q15" s="5" t="n"/>
      <c r="R15" s="5" t="n"/>
      <c r="S15" s="5" t="n"/>
    </row>
    <row r="16" ht="20" customHeight="1">
      <c r="A16" s="40" t="n">
        <v>12</v>
      </c>
      <c r="B16" s="10" t="n"/>
      <c r="C16" s="15" t="n"/>
      <c r="D16" s="15" t="n"/>
      <c r="E16" s="22">
        <f>IF(ISBLANK(D16), "", IF(OR(D16&gt;C16, D16&gt;=96), "增長成功 ✔", "未增長 ✘"))</f>
        <v/>
      </c>
      <c r="F16" s="12" t="n"/>
      <c r="G16" s="22">
        <f>IF(ISBLANK(C16), "", C16 + IF(ISBLANK(F16), 0, F16))</f>
        <v/>
      </c>
      <c r="H16" s="44" t="n"/>
      <c r="I16" s="40" t="n">
        <v>12</v>
      </c>
      <c r="J16" s="10" t="n"/>
      <c r="K16" s="15" t="n"/>
      <c r="L16" s="15" t="n"/>
      <c r="M16" s="15" t="n"/>
      <c r="N16" s="15" t="n"/>
      <c r="O16" s="16" t="n"/>
      <c r="P16" s="5" t="n"/>
      <c r="Q16" s="5" t="n"/>
      <c r="R16" s="5" t="n"/>
      <c r="S16" s="5" t="n"/>
    </row>
    <row r="17" ht="20" customHeight="1">
      <c r="A17" s="15" t="n">
        <v>13</v>
      </c>
      <c r="B17" s="10" t="n"/>
      <c r="C17" s="15" t="n"/>
      <c r="D17" s="15" t="n"/>
      <c r="E17" s="22">
        <f>IF(ISBLANK(D17), "", IF(OR(D17&gt;C17, D17&gt;=96), "增長成功 ✔", "未增長 ✘"))</f>
        <v/>
      </c>
      <c r="F17" s="12" t="n"/>
      <c r="G17" s="22">
        <f>IF(ISBLANK(C17), "", C17 + IF(ISBLANK(F17), 0, F17))</f>
        <v/>
      </c>
      <c r="H17" s="44" t="n"/>
      <c r="I17" s="15" t="n">
        <v>13</v>
      </c>
      <c r="J17" s="10" t="n"/>
      <c r="K17" s="15" t="n"/>
      <c r="L17" s="15" t="n"/>
      <c r="M17" s="15" t="n"/>
      <c r="N17" s="15" t="n"/>
      <c r="O17" s="33" t="n"/>
    </row>
    <row r="18" ht="20" customHeight="1">
      <c r="A18" s="40" t="n">
        <v>14</v>
      </c>
      <c r="B18" s="10" t="n"/>
      <c r="C18" s="15" t="n"/>
      <c r="D18" s="15" t="n"/>
      <c r="E18" s="22">
        <f>IF(ISBLANK(D18), "", IF(OR(D18&gt;C18, D18&gt;=96), "增長成功 ✔", "未增長 ✘"))</f>
        <v/>
      </c>
      <c r="F18" s="12" t="n"/>
      <c r="G18" s="22">
        <f>IF(ISBLANK(C18), "", C18 + IF(ISBLANK(F18), 0, F18))</f>
        <v/>
      </c>
      <c r="H18" s="44" t="n"/>
      <c r="I18" s="40" t="n">
        <v>14</v>
      </c>
      <c r="J18" s="10" t="n"/>
      <c r="K18" s="15" t="n"/>
      <c r="L18" s="15" t="n"/>
      <c r="M18" s="15" t="n"/>
      <c r="N18" s="15" t="n"/>
      <c r="O18" s="33" t="n"/>
    </row>
    <row r="19" ht="20" customHeight="1">
      <c r="A19" s="15" t="n">
        <v>15</v>
      </c>
      <c r="B19" s="10" t="n"/>
      <c r="C19" s="15" t="n"/>
      <c r="D19" s="15" t="n"/>
      <c r="E19" s="22">
        <f>IF(ISBLANK(D19), "", IF(OR(D19&gt;C19, D19&gt;=96), "增長成功 ✔", "未增長 ✘"))</f>
        <v/>
      </c>
      <c r="F19" s="12" t="n"/>
      <c r="G19" s="22">
        <f>IF(ISBLANK(C19), "", C19 + IF(ISBLANK(F19), 0, F19))</f>
        <v/>
      </c>
      <c r="H19" s="44" t="n"/>
      <c r="I19" s="15" t="n">
        <v>15</v>
      </c>
      <c r="J19" s="10" t="n"/>
      <c r="K19" s="15" t="n"/>
      <c r="L19" s="15" t="n"/>
      <c r="M19" s="15" t="n"/>
      <c r="N19" s="15" t="n"/>
      <c r="O19" s="33" t="n"/>
    </row>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sheetData>
  <mergeCells count="20">
    <mergeCell ref="O7:P7"/>
    <mergeCell ref="O19:P19"/>
    <mergeCell ref="O10:P10"/>
    <mergeCell ref="O6:P6"/>
    <mergeCell ref="O15:P15"/>
    <mergeCell ref="O18:P18"/>
    <mergeCell ref="O9:P9"/>
    <mergeCell ref="O5:P5"/>
    <mergeCell ref="O4:P4"/>
    <mergeCell ref="O16:P16"/>
    <mergeCell ref="A3:H3"/>
    <mergeCell ref="I3:P3"/>
    <mergeCell ref="A1:P1"/>
    <mergeCell ref="O12:P12"/>
    <mergeCell ref="O8:P8"/>
    <mergeCell ref="O17:P17"/>
    <mergeCell ref="O11:P11"/>
    <mergeCell ref="O14:P14"/>
    <mergeCell ref="O13:P1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1"/>
  <sheetViews>
    <sheetView showGridLines="1" workbookViewId="0">
      <selection activeCell="A1" sqref="A1"/>
    </sheetView>
  </sheetViews>
  <sheetFormatPr baseColWidth="8" defaultRowHeight="15"/>
  <cols>
    <col width="6" customWidth="1" min="1" max="1"/>
    <col width="14" customWidth="1" min="2" max="2"/>
    <col width="18" customWidth="1" min="3" max="3"/>
    <col width="24" customWidth="1" min="4" max="4"/>
    <col width="14" customWidth="1" min="5" max="5"/>
    <col width="45" customWidth="1" min="6" max="6"/>
    <col width="4" customWidth="1" min="7" max="7"/>
    <col width="6" customWidth="1" min="8" max="8"/>
    <col width="14" customWidth="1" min="9" max="9"/>
    <col width="20" customWidth="1" min="10" max="10"/>
    <col width="18" customWidth="1" min="11" max="11"/>
    <col width="14" customWidth="1" min="12" max="12"/>
    <col width="12" customWidth="1" min="13" max="13"/>
    <col width="14" customWidth="1" min="14" max="14"/>
    <col width="10" customWidth="1" min="15" max="15"/>
    <col width="10" customWidth="1" min="16" max="16"/>
    <col width="10"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8" customHeight="1">
      <c r="A1" s="1" t="inlineStr">
        <is>
          <t>🏛️ CALL OF CTHULHU 7th EDITION • OFFICIAL REFERENCE DATABASE</t>
        </is>
      </c>
      <c r="C1" s="2" t="n"/>
    </row>
    <row r="2" ht="20" customHeight="1">
      <c r="A2" s="6" t="inlineStr">
        <is>
          <t>【 官方 127 種職業速查庫 與 105 種全套軍械庫數據清單 (OFFICIAL CODEX) 】</t>
        </is>
      </c>
      <c r="C2" s="2" t="n"/>
    </row>
    <row r="3" ht="22" customHeight="1">
      <c r="A3" s="7" t="inlineStr">
        <is>
          <t>📚 官方 127 種調查員職業索引數據庫 (Occupations Database)</t>
        </is>
      </c>
      <c r="C3" s="2" t="n"/>
      <c r="H3" s="7" t="inlineStr">
        <is>
          <t>⚔️ 官方 105 種完整戰鬥武器軍械裝備庫 (Weapons Database)</t>
        </is>
      </c>
    </row>
    <row r="4" ht="20" customHeight="1">
      <c r="A4" s="19" t="inlineStr">
        <is>
          <t>編號</t>
        </is>
      </c>
      <c r="B4" s="19" t="inlineStr">
        <is>
          <t>分類</t>
        </is>
      </c>
      <c r="C4" s="19" t="inlineStr">
        <is>
          <t>職業名稱</t>
        </is>
      </c>
      <c r="D4" s="19" t="inlineStr">
        <is>
          <t>技能點數計算公式</t>
        </is>
      </c>
      <c r="E4" s="19" t="inlineStr">
        <is>
          <t>信用評級區間</t>
        </is>
      </c>
      <c r="F4" s="19" t="inlineStr">
        <is>
          <t>官方推薦本職技能清單</t>
        </is>
      </c>
      <c r="H4" s="19" t="inlineStr">
        <is>
          <t>編號</t>
        </is>
      </c>
      <c r="I4" s="19" t="inlineStr">
        <is>
          <t>武器類別</t>
        </is>
      </c>
      <c r="J4" s="19" t="inlineStr">
        <is>
          <t>武器名稱</t>
        </is>
      </c>
      <c r="K4" s="19" t="inlineStr">
        <is>
          <t>關聯技能</t>
        </is>
      </c>
      <c r="L4" s="19" t="inlineStr">
        <is>
          <t>基礎傷害</t>
        </is>
      </c>
      <c r="M4" s="19" t="inlineStr">
        <is>
          <t>穿刺傷害</t>
        </is>
      </c>
      <c r="N4" s="19" t="inlineStr">
        <is>
          <t>射程/距離</t>
        </is>
      </c>
      <c r="O4" s="19" t="inlineStr">
        <is>
          <t>每輪次數</t>
        </is>
      </c>
      <c r="P4" s="19" t="inlineStr">
        <is>
          <t>彈匣容量</t>
        </is>
      </c>
      <c r="Q4" s="19" t="inlineStr">
        <is>
          <t>故障值</t>
        </is>
      </c>
    </row>
    <row r="5" ht="19" customHeight="1">
      <c r="A5" s="15" t="n">
        <v>1</v>
      </c>
      <c r="B5" s="15" t="inlineStr">
        <is>
          <t>司法軍警</t>
        </is>
      </c>
      <c r="C5" s="10" t="inlineStr">
        <is>
          <t>法官</t>
        </is>
      </c>
      <c r="D5" s="24" t="inlineStr">
        <is>
          <t>EDU</t>
        </is>
      </c>
      <c r="E5" s="12" t="inlineStr">
        <is>
          <t>50~80</t>
        </is>
      </c>
      <c r="F5" s="16" t="inlineStr">
        <is>
          <t>說服、心理學、恐嚇、母語、歷史、法律、聆聽、圖書館使用</t>
        </is>
      </c>
      <c r="H5" s="15" t="n">
        <v>1</v>
      </c>
      <c r="I5" s="15" t="inlineStr"/>
      <c r="J5" s="10" t="inlineStr">
        <is>
          <t>空手</t>
        </is>
      </c>
      <c r="K5" s="15" t="inlineStr">
        <is>
          <t>格鬥（鬥毆）</t>
        </is>
      </c>
      <c r="L5" s="24" t="inlineStr">
        <is>
          <t>1D3+DB</t>
        </is>
      </c>
      <c r="M5" s="24" t="inlineStr">
        <is>
          <t>-</t>
        </is>
      </c>
      <c r="N5" s="15" t="inlineStr">
        <is>
          <t>接觸</t>
        </is>
      </c>
      <c r="O5" s="15" t="inlineStr"/>
      <c r="P5" s="15" t="inlineStr"/>
      <c r="Q5" s="23" t="inlineStr">
        <is>
          <t>-</t>
        </is>
      </c>
    </row>
    <row r="6" ht="19" customHeight="1">
      <c r="A6" s="40" t="n">
        <v>2</v>
      </c>
      <c r="B6" s="40" t="inlineStr">
        <is>
          <t>司法軍警</t>
        </is>
      </c>
      <c r="C6" s="25" t="inlineStr">
        <is>
          <t>律師</t>
        </is>
      </c>
      <c r="D6" s="24" t="inlineStr">
        <is>
          <t>EDU</t>
        </is>
      </c>
      <c r="E6" s="20" t="inlineStr">
        <is>
          <t>30~80</t>
        </is>
      </c>
      <c r="F6" s="35" t="inlineStr">
        <is>
          <t>四選二：魅惑/恐嚇/說服/話術、心理學、會計、法律、圖書館使用、個人專長×2</t>
        </is>
      </c>
      <c r="H6" s="40" t="n">
        <v>2</v>
      </c>
      <c r="I6" s="40" t="inlineStr"/>
      <c r="J6" s="25" t="inlineStr">
        <is>
          <t>指虎</t>
        </is>
      </c>
      <c r="K6" s="40" t="inlineStr">
        <is>
          <t>格鬥（鬥毆）</t>
        </is>
      </c>
      <c r="L6" s="24" t="inlineStr">
        <is>
          <t>1D3+1+DB</t>
        </is>
      </c>
      <c r="M6" s="24" t="inlineStr">
        <is>
          <t>-</t>
        </is>
      </c>
      <c r="N6" s="40" t="inlineStr">
        <is>
          <t>接觸</t>
        </is>
      </c>
      <c r="O6" s="40" t="inlineStr"/>
      <c r="P6" s="40" t="inlineStr"/>
      <c r="Q6" s="23" t="inlineStr">
        <is>
          <t>-</t>
        </is>
      </c>
    </row>
    <row r="7" ht="19" customHeight="1">
      <c r="A7" s="15" t="n">
        <v>3</v>
      </c>
      <c r="B7" s="15" t="inlineStr">
        <is>
          <t>司法軍警</t>
        </is>
      </c>
      <c r="C7" s="10" t="inlineStr">
        <is>
          <t>司法人員</t>
        </is>
      </c>
      <c r="D7" s="24" t="inlineStr">
        <is>
          <t>EDU</t>
        </is>
      </c>
      <c r="E7" s="12" t="inlineStr">
        <is>
          <t>20~40</t>
        </is>
      </c>
      <c r="F7" s="16" t="inlineStr">
        <is>
          <t>說服、駕駛(車類)、隱密行動、戰鬥×1、槍枝×1、法律、偵察、個人專長×1</t>
        </is>
      </c>
      <c r="H7" s="15" t="n">
        <v>3</v>
      </c>
      <c r="I7" s="15" t="inlineStr"/>
      <c r="J7" s="10" t="inlineStr">
        <is>
          <t>燃燒的火炬</t>
        </is>
      </c>
      <c r="K7" s="15" t="inlineStr">
        <is>
          <t>格鬥（鬥毆）</t>
        </is>
      </c>
      <c r="L7" s="24" t="inlineStr">
        <is>
          <t>1D6+燃燒</t>
        </is>
      </c>
      <c r="M7" s="24" t="inlineStr">
        <is>
          <t>-</t>
        </is>
      </c>
      <c r="N7" s="15" t="inlineStr">
        <is>
          <t>接觸</t>
        </is>
      </c>
      <c r="O7" s="15" t="inlineStr"/>
      <c r="P7" s="15" t="inlineStr"/>
      <c r="Q7" s="23" t="inlineStr">
        <is>
          <t>-</t>
        </is>
      </c>
    </row>
    <row r="8" ht="19" customHeight="1">
      <c r="A8" s="40" t="n">
        <v>4</v>
      </c>
      <c r="B8" s="40" t="inlineStr">
        <is>
          <t>司法軍警</t>
        </is>
      </c>
      <c r="C8" s="25" t="inlineStr">
        <is>
          <t>軍官</t>
        </is>
      </c>
      <c r="D8" s="24" t="inlineStr">
        <is>
          <t>EDU+(STRorDEX)</t>
        </is>
      </c>
      <c r="E8" s="20" t="inlineStr">
        <is>
          <t>20~70</t>
        </is>
      </c>
      <c r="F8" s="35" t="inlineStr">
        <is>
          <t>四選二：魅惑/恐嚇/說服/話術、心理學、領航、急救、槍枝×1、會計、個人專長×1</t>
        </is>
      </c>
      <c r="H8" s="40" t="n">
        <v>4</v>
      </c>
      <c r="I8" s="40" t="inlineStr"/>
      <c r="J8" s="25" t="inlineStr">
        <is>
          <t>包皮鐵棍(甩棍、護身短棒)</t>
        </is>
      </c>
      <c r="K8" s="40" t="inlineStr">
        <is>
          <t>格鬥（鬥毆）</t>
        </is>
      </c>
      <c r="L8" s="24" t="inlineStr">
        <is>
          <t>1D8+DB</t>
        </is>
      </c>
      <c r="M8" s="24" t="inlineStr">
        <is>
          <t>-</t>
        </is>
      </c>
      <c r="N8" s="40" t="inlineStr">
        <is>
          <t>接觸</t>
        </is>
      </c>
      <c r="O8" s="40" t="inlineStr"/>
      <c r="P8" s="40" t="inlineStr"/>
      <c r="Q8" s="23" t="inlineStr">
        <is>
          <t>-</t>
        </is>
      </c>
    </row>
    <row r="9" ht="19" customHeight="1">
      <c r="A9" s="15" t="n">
        <v>5</v>
      </c>
      <c r="B9" s="15" t="inlineStr">
        <is>
          <t>司法軍警</t>
        </is>
      </c>
      <c r="C9" s="10" t="inlineStr">
        <is>
          <t>士兵/海軍</t>
        </is>
      </c>
      <c r="D9" s="24" t="inlineStr">
        <is>
          <t>EDU+(STRorDEX)</t>
        </is>
      </c>
      <c r="E9" s="12" t="inlineStr">
        <is>
          <t>9~30</t>
        </is>
      </c>
      <c r="F9" s="16" t="inlineStr">
        <is>
          <t>閃避、攀爬/游泳、生存(任意)、隱密行動、戰鬥×1、槍枝×1、以下選二：急救/他國語言×1/機械維修</t>
        </is>
      </c>
      <c r="H9" s="15" t="n">
        <v>5</v>
      </c>
      <c r="I9" s="15" t="inlineStr"/>
      <c r="J9" s="10" t="inlineStr">
        <is>
          <t>大型棍狀物(棒球棍、板球棒、撥火棍等)</t>
        </is>
      </c>
      <c r="K9" s="15" t="inlineStr">
        <is>
          <t>格鬥（鬥毆）</t>
        </is>
      </c>
      <c r="L9" s="24" t="inlineStr">
        <is>
          <t>1D8+DB</t>
        </is>
      </c>
      <c r="M9" s="24" t="inlineStr">
        <is>
          <t>-</t>
        </is>
      </c>
      <c r="N9" s="15" t="inlineStr">
        <is>
          <t>接觸</t>
        </is>
      </c>
      <c r="O9" s="15" t="inlineStr"/>
      <c r="P9" s="15" t="inlineStr"/>
      <c r="Q9" s="23" t="inlineStr">
        <is>
          <t>-</t>
        </is>
      </c>
    </row>
    <row r="10" ht="19" customHeight="1">
      <c r="A10" s="40" t="n">
        <v>6</v>
      </c>
      <c r="B10" s="40" t="inlineStr">
        <is>
          <t>司法軍警</t>
        </is>
      </c>
      <c r="C10" s="25" t="inlineStr">
        <is>
          <t>制服警察</t>
        </is>
      </c>
      <c r="D10" s="24" t="inlineStr">
        <is>
          <t>EDU+(STRorDEX)</t>
        </is>
      </c>
      <c r="E10" s="20" t="inlineStr">
        <is>
          <t>9~30</t>
        </is>
      </c>
      <c r="F10" s="35" t="inlineStr">
        <is>
          <t>魅惑/恐嚇/說服/話術、心理學、騎術/駕駛(車類)、急救、戰鬥×1、槍枝×1、法律、偵察</t>
        </is>
      </c>
      <c r="H10" s="40" t="n">
        <v>6</v>
      </c>
      <c r="I10" s="40" t="inlineStr"/>
      <c r="J10" s="25" t="inlineStr">
        <is>
          <t>小型棍狀物(警棍等)</t>
        </is>
      </c>
      <c r="K10" s="40" t="inlineStr">
        <is>
          <t>格鬥（鬥毆）</t>
        </is>
      </c>
      <c r="L10" s="24" t="inlineStr">
        <is>
          <t>1D6+DB</t>
        </is>
      </c>
      <c r="M10" s="24" t="inlineStr">
        <is>
          <t>-</t>
        </is>
      </c>
      <c r="N10" s="40" t="inlineStr">
        <is>
          <t>接觸</t>
        </is>
      </c>
      <c r="O10" s="40" t="inlineStr"/>
      <c r="P10" s="40" t="inlineStr"/>
      <c r="Q10" s="23" t="inlineStr">
        <is>
          <t>-</t>
        </is>
      </c>
    </row>
    <row r="11" ht="19" customHeight="1">
      <c r="A11" s="15" t="n">
        <v>7</v>
      </c>
      <c r="B11" s="15" t="inlineStr">
        <is>
          <t>司法軍警</t>
        </is>
      </c>
      <c r="C11" s="10" t="inlineStr">
        <is>
          <t>交通機動隊(白バイ隊員)</t>
        </is>
      </c>
      <c r="D11" s="24" t="inlineStr">
        <is>
          <t>EDU+DEX</t>
        </is>
      </c>
      <c r="E11" s="12" t="inlineStr">
        <is>
          <t>9~30</t>
        </is>
      </c>
      <c r="F11" s="16" t="inlineStr">
        <is>
          <t>魅惑/恐嚇/說服/話術、心理學、駕駛(重型機車)、領航、槍枝(手槍)、法律、機械維修、偵察</t>
        </is>
      </c>
      <c r="H11" s="15" t="n">
        <v>7</v>
      </c>
      <c r="I11" s="15" t="inlineStr"/>
      <c r="J11" s="10" t="inlineStr">
        <is>
          <t>催淚瓦斯</t>
        </is>
      </c>
      <c r="K11" s="15" t="inlineStr">
        <is>
          <t>格鬥（鬥毆）</t>
        </is>
      </c>
      <c r="L11" s="24" t="inlineStr">
        <is>
          <t>眩暈</t>
        </is>
      </c>
      <c r="M11" s="24" t="inlineStr">
        <is>
          <t>-</t>
        </is>
      </c>
      <c r="N11" s="15" t="inlineStr">
        <is>
          <t>6英尺</t>
        </is>
      </c>
      <c r="O11" s="15" t="inlineStr"/>
      <c r="P11" s="15" t="inlineStr"/>
      <c r="Q11" s="23" t="inlineStr">
        <is>
          <t>95.0</t>
        </is>
      </c>
    </row>
    <row r="12" ht="19" customHeight="1">
      <c r="A12" s="40" t="n">
        <v>8</v>
      </c>
      <c r="B12" s="40" t="inlineStr">
        <is>
          <t>司法軍警</t>
        </is>
      </c>
      <c r="C12" s="25" t="inlineStr">
        <is>
          <t>警探</t>
        </is>
      </c>
      <c r="D12" s="24" t="inlineStr">
        <is>
          <t>EDU+(STRorDEX)</t>
        </is>
      </c>
      <c r="E12" s="20" t="inlineStr">
        <is>
          <t>20~50</t>
        </is>
      </c>
      <c r="F12" s="35" t="inlineStr">
        <is>
          <t>魅惑/恐嚇/說服/話術、心理學、槍枝×1、法律、喬裝/演技、偵察、聆聽、個人專長×1</t>
        </is>
      </c>
      <c r="H12" s="40" t="n">
        <v>8</v>
      </c>
      <c r="I12" s="40" t="inlineStr"/>
      <c r="J12" s="25" t="inlineStr">
        <is>
          <t>大型刀具(大砍刀等)</t>
        </is>
      </c>
      <c r="K12" s="40" t="inlineStr">
        <is>
          <t>格鬥（鬥毆）</t>
        </is>
      </c>
      <c r="L12" s="24" t="inlineStr">
        <is>
          <t>1D8+DB</t>
        </is>
      </c>
      <c r="M12" s="24" t="inlineStr">
        <is>
          <t>√</t>
        </is>
      </c>
      <c r="N12" s="40" t="inlineStr">
        <is>
          <t>接觸</t>
        </is>
      </c>
      <c r="O12" s="40" t="inlineStr"/>
      <c r="P12" s="40" t="inlineStr"/>
      <c r="Q12" s="23" t="inlineStr">
        <is>
          <t>-</t>
        </is>
      </c>
    </row>
    <row r="13" ht="19" customHeight="1">
      <c r="A13" s="15" t="n">
        <v>9</v>
      </c>
      <c r="B13" s="15" t="inlineStr">
        <is>
          <t>醫療救護</t>
        </is>
      </c>
      <c r="C13" s="10" t="inlineStr">
        <is>
          <t>法醫</t>
        </is>
      </c>
      <c r="D13" s="24" t="inlineStr">
        <is>
          <t>EDU</t>
        </is>
      </c>
      <c r="E13" s="12" t="inlineStr">
        <is>
          <t>40~60</t>
        </is>
      </c>
      <c r="F13" s="16" t="inlineStr">
        <is>
          <t>說服、醫學、他國語言×1、藥學、生物學、鑑識學、偵察、圖書館使用</t>
        </is>
      </c>
      <c r="H13" s="15" t="n">
        <v>9</v>
      </c>
      <c r="I13" s="15" t="inlineStr"/>
      <c r="J13" s="10" t="inlineStr">
        <is>
          <t>中型刀具(雕刻刀等)</t>
        </is>
      </c>
      <c r="K13" s="15" t="inlineStr">
        <is>
          <t>格鬥（鬥毆）</t>
        </is>
      </c>
      <c r="L13" s="24" t="inlineStr">
        <is>
          <t>1D4+2+DB</t>
        </is>
      </c>
      <c r="M13" s="24" t="inlineStr">
        <is>
          <t>√</t>
        </is>
      </c>
      <c r="N13" s="15" t="inlineStr">
        <is>
          <t>接觸</t>
        </is>
      </c>
      <c r="O13" s="15" t="inlineStr"/>
      <c r="P13" s="15" t="inlineStr"/>
      <c r="Q13" s="23" t="inlineStr">
        <is>
          <t>-</t>
        </is>
      </c>
    </row>
    <row r="14" ht="19" customHeight="1">
      <c r="A14" s="40" t="n">
        <v>10</v>
      </c>
      <c r="B14" s="40" t="inlineStr">
        <is>
          <t>醫療救護</t>
        </is>
      </c>
      <c r="C14" s="25" t="inlineStr">
        <is>
          <t>醫生</t>
        </is>
      </c>
      <c r="D14" s="24" t="inlineStr">
        <is>
          <t>EDU</t>
        </is>
      </c>
      <c r="E14" s="20" t="inlineStr">
        <is>
          <t>30~60</t>
        </is>
      </c>
      <c r="F14" s="35" t="inlineStr">
        <is>
          <t>心理學、急救、醫學、他國語言×1、藥學、生物學、知識學問/個人專長×2</t>
        </is>
      </c>
      <c r="H14" s="40" t="n">
        <v>10</v>
      </c>
      <c r="I14" s="40" t="inlineStr"/>
      <c r="J14" s="25" t="inlineStr">
        <is>
          <t>小型刀具(水果刀等)</t>
        </is>
      </c>
      <c r="K14" s="40" t="inlineStr">
        <is>
          <t>格鬥（鬥毆）</t>
        </is>
      </c>
      <c r="L14" s="24" t="inlineStr">
        <is>
          <t>1D4+DB</t>
        </is>
      </c>
      <c r="M14" s="24" t="inlineStr">
        <is>
          <t>√</t>
        </is>
      </c>
      <c r="N14" s="40" t="inlineStr">
        <is>
          <t>接觸</t>
        </is>
      </c>
      <c r="O14" s="40" t="inlineStr"/>
      <c r="P14" s="40" t="inlineStr"/>
      <c r="Q14" s="23" t="inlineStr">
        <is>
          <t>-</t>
        </is>
      </c>
    </row>
    <row r="15" ht="19" customHeight="1">
      <c r="A15" s="15" t="n">
        <v>11</v>
      </c>
      <c r="B15" s="15" t="inlineStr">
        <is>
          <t>醫療救護</t>
        </is>
      </c>
      <c r="C15" s="10" t="inlineStr">
        <is>
          <t>護士</t>
        </is>
      </c>
      <c r="D15" s="24" t="inlineStr">
        <is>
          <t>EDU</t>
        </is>
      </c>
      <c r="E15" s="12" t="inlineStr">
        <is>
          <t>9~30</t>
        </is>
      </c>
      <c r="F15" s="16" t="inlineStr">
        <is>
          <t>魅惑/恐嚇/說服/話術、心理學、急救、醫學、化學、生物學、偵察、聆聽</t>
        </is>
      </c>
      <c r="H15" s="15" t="n">
        <v>11</v>
      </c>
      <c r="I15" s="15" t="inlineStr"/>
      <c r="J15" s="10" t="inlineStr">
        <is>
          <t>電棍</t>
        </is>
      </c>
      <c r="K15" s="15" t="inlineStr">
        <is>
          <t>格鬥（鬥毆）</t>
        </is>
      </c>
      <c r="L15" s="24" t="inlineStr">
        <is>
          <t>1D3+眩暈</t>
        </is>
      </c>
      <c r="M15" s="24" t="inlineStr">
        <is>
          <t>-</t>
        </is>
      </c>
      <c r="N15" s="15" t="inlineStr">
        <is>
          <t>接觸</t>
        </is>
      </c>
      <c r="O15" s="15" t="inlineStr"/>
      <c r="P15" s="15" t="inlineStr"/>
      <c r="Q15" s="23" t="inlineStr">
        <is>
          <t>97.0</t>
        </is>
      </c>
    </row>
    <row r="16" ht="19" customHeight="1">
      <c r="A16" s="40" t="n">
        <v>12</v>
      </c>
      <c r="B16" s="40" t="inlineStr">
        <is>
          <t>醫療救護</t>
        </is>
      </c>
      <c r="C16" s="25" t="inlineStr">
        <is>
          <t>緊急救護技術士</t>
        </is>
      </c>
      <c r="D16" s="24" t="inlineStr">
        <is>
          <t>EDU+(STRorDEX)</t>
        </is>
      </c>
      <c r="E16" s="20" t="inlineStr">
        <is>
          <t>9~30</t>
        </is>
      </c>
      <c r="F16" s="35" t="inlineStr">
        <is>
          <t>駕駛(車類)、急救、醫學、化學、生物學、法律、電器維修、聆聽</t>
        </is>
      </c>
      <c r="H16" s="40" t="n">
        <v>12</v>
      </c>
      <c r="I16" s="40" t="inlineStr"/>
      <c r="J16" s="25" t="inlineStr">
        <is>
          <t>220v通電導線</t>
        </is>
      </c>
      <c r="K16" s="40" t="inlineStr">
        <is>
          <t>格鬥（鬥毆）</t>
        </is>
      </c>
      <c r="L16" s="24" t="inlineStr">
        <is>
          <t>2D8+眩暈</t>
        </is>
      </c>
      <c r="M16" s="24" t="inlineStr">
        <is>
          <t>-</t>
        </is>
      </c>
      <c r="N16" s="40" t="inlineStr">
        <is>
          <t>接觸</t>
        </is>
      </c>
      <c r="O16" s="40" t="inlineStr"/>
      <c r="P16" s="40" t="inlineStr"/>
      <c r="Q16" s="23" t="inlineStr">
        <is>
          <t>95.0</t>
        </is>
      </c>
    </row>
    <row r="17" ht="19" customHeight="1">
      <c r="A17" s="15" t="n">
        <v>13</v>
      </c>
      <c r="B17" s="15" t="inlineStr">
        <is>
          <t>醫療救護</t>
        </is>
      </c>
      <c r="C17" s="10" t="inlineStr">
        <is>
          <t>醫院看護人員</t>
        </is>
      </c>
      <c r="D17" s="24" t="inlineStr">
        <is>
          <t>EDU+STR</t>
        </is>
      </c>
      <c r="E17" s="12" t="inlineStr">
        <is>
          <t>6~15</t>
        </is>
      </c>
      <c r="F17" s="16" t="inlineStr">
        <is>
          <t>魅惑/恐嚇/說服/話術、心理學、急救、隱密行動、戰鬥×1、電器維修、機械維修、聆聽</t>
        </is>
      </c>
      <c r="H17" s="15" t="n">
        <v>13</v>
      </c>
      <c r="I17" s="15" t="inlineStr"/>
      <c r="J17" s="10" t="inlineStr">
        <is>
          <t>雙截棍</t>
        </is>
      </c>
      <c r="K17" s="15" t="inlineStr">
        <is>
          <t>格鬥（鏈枷）</t>
        </is>
      </c>
      <c r="L17" s="24" t="inlineStr">
        <is>
          <t>1D8+DB</t>
        </is>
      </c>
      <c r="M17" s="24" t="inlineStr">
        <is>
          <t>-</t>
        </is>
      </c>
      <c r="N17" s="15" t="inlineStr">
        <is>
          <t>接觸</t>
        </is>
      </c>
      <c r="O17" s="15" t="inlineStr"/>
      <c r="P17" s="15" t="inlineStr"/>
      <c r="Q17" s="23" t="inlineStr">
        <is>
          <t>-</t>
        </is>
      </c>
    </row>
    <row r="18" ht="19" customHeight="1">
      <c r="A18" s="40" t="n">
        <v>14</v>
      </c>
      <c r="B18" s="40" t="inlineStr">
        <is>
          <t>醫療救護</t>
        </is>
      </c>
      <c r="C18" s="25" t="inlineStr">
        <is>
          <t>心理醫生</t>
        </is>
      </c>
      <c r="D18" s="24" t="inlineStr">
        <is>
          <t>EDU</t>
        </is>
      </c>
      <c r="E18" s="20" t="inlineStr">
        <is>
          <t>30~80</t>
        </is>
      </c>
      <c r="F18" s="35" t="inlineStr">
        <is>
          <t>說服、心理學、精神分析、醫學、他國語言×1、化學、生物學、聆聽</t>
        </is>
      </c>
      <c r="H18" s="40" t="n">
        <v>14</v>
      </c>
      <c r="I18" s="40" t="inlineStr"/>
      <c r="J18" s="25" t="inlineStr">
        <is>
          <t>絞具</t>
        </is>
      </c>
      <c r="K18" s="40" t="inlineStr">
        <is>
          <t>格鬥（絞具）</t>
        </is>
      </c>
      <c r="L18" s="24" t="inlineStr">
        <is>
          <t>1D6+DB</t>
        </is>
      </c>
      <c r="M18" s="24" t="inlineStr">
        <is>
          <t>√</t>
        </is>
      </c>
      <c r="N18" s="40" t="inlineStr">
        <is>
          <t>接觸</t>
        </is>
      </c>
      <c r="O18" s="40" t="inlineStr"/>
      <c r="P18" s="40" t="inlineStr"/>
      <c r="Q18" s="23" t="inlineStr">
        <is>
          <t>-</t>
        </is>
      </c>
    </row>
    <row r="19" ht="19" customHeight="1">
      <c r="A19" s="15" t="n">
        <v>15</v>
      </c>
      <c r="B19" s="15" t="inlineStr">
        <is>
          <t>醫療救護</t>
        </is>
      </c>
      <c r="C19" s="10" t="inlineStr">
        <is>
          <t>精神鑑定醫師(非現代)</t>
        </is>
      </c>
      <c r="D19" s="24" t="inlineStr">
        <is>
          <t>EDU</t>
        </is>
      </c>
      <c r="E19" s="12" t="inlineStr">
        <is>
          <t>10~60</t>
        </is>
      </c>
      <c r="F19" s="16" t="inlineStr">
        <is>
          <t>心理學、精神分析、醫學、他國語言×1、化學、生物學、法律、聆聽</t>
        </is>
      </c>
      <c r="H19" s="15" t="n">
        <v>15</v>
      </c>
      <c r="I19" s="15" t="inlineStr"/>
      <c r="J19" s="10" t="inlineStr">
        <is>
          <t>電鋸</t>
        </is>
      </c>
      <c r="K19" s="15" t="inlineStr">
        <is>
          <t>格鬥（鏈鋸）</t>
        </is>
      </c>
      <c r="L19" s="24" t="inlineStr">
        <is>
          <t>2D8</t>
        </is>
      </c>
      <c r="M19" s="24" t="inlineStr">
        <is>
          <t>√</t>
        </is>
      </c>
      <c r="N19" s="15" t="inlineStr">
        <is>
          <t>接觸</t>
        </is>
      </c>
      <c r="O19" s="15" t="inlineStr"/>
      <c r="P19" s="15" t="inlineStr"/>
      <c r="Q19" s="23" t="inlineStr">
        <is>
          <t>95.0</t>
        </is>
      </c>
    </row>
    <row r="20" ht="19" customHeight="1">
      <c r="A20" s="40" t="n">
        <v>16</v>
      </c>
      <c r="B20" s="40" t="inlineStr">
        <is>
          <t>醫療救護</t>
        </is>
      </c>
      <c r="C20" s="25" t="inlineStr">
        <is>
          <t>藥劑師</t>
        </is>
      </c>
      <c r="D20" s="24" t="inlineStr">
        <is>
          <t>EDU</t>
        </is>
      </c>
      <c r="E20" s="20" t="inlineStr">
        <is>
          <t>35~75</t>
        </is>
      </c>
      <c r="F20" s="35" t="inlineStr">
        <is>
          <t>魅惑/恐嚇/說服/話術、心理學、急救、他國語言×1、化學、藥學、會計、圖書館使用</t>
        </is>
      </c>
      <c r="H20" s="40" t="n">
        <v>16</v>
      </c>
      <c r="I20" s="40" t="inlineStr"/>
      <c r="J20" s="25" t="inlineStr">
        <is>
          <t>長鞭</t>
        </is>
      </c>
      <c r="K20" s="40" t="inlineStr">
        <is>
          <t>格鬥（鞭）</t>
        </is>
      </c>
      <c r="L20" s="24" t="inlineStr">
        <is>
          <t>1D3+一半DB</t>
        </is>
      </c>
      <c r="M20" s="24" t="inlineStr">
        <is>
          <t>-</t>
        </is>
      </c>
      <c r="N20" s="40" t="inlineStr">
        <is>
          <t>10英尺</t>
        </is>
      </c>
      <c r="O20" s="40" t="inlineStr"/>
      <c r="P20" s="40" t="inlineStr"/>
      <c r="Q20" s="23" t="inlineStr">
        <is>
          <t>-</t>
        </is>
      </c>
    </row>
    <row r="21" ht="19" customHeight="1">
      <c r="A21" s="15" t="n">
        <v>17</v>
      </c>
      <c r="B21" s="15" t="inlineStr">
        <is>
          <t>醫療救護</t>
        </is>
      </c>
      <c r="C21" s="10" t="inlineStr">
        <is>
          <t>瘋人院戒護員</t>
        </is>
      </c>
      <c r="D21" s="24" t="inlineStr">
        <is>
          <t>EDU+(STRorDEX)</t>
        </is>
      </c>
      <c r="E21" s="12" t="inlineStr">
        <is>
          <t>8~20</t>
        </is>
      </c>
      <c r="F21" s="16" t="inlineStr">
        <is>
          <t>四選二：魅惑/恐嚇/說服/話術、心理學、閃避、急救、隱密行動、戰鬥×1、聆聽</t>
        </is>
      </c>
      <c r="H21" s="15" t="n">
        <v>17</v>
      </c>
      <c r="I21" s="15" t="inlineStr"/>
      <c r="J21" s="10" t="inlineStr">
        <is>
          <t>斧頭/鐮刀</t>
        </is>
      </c>
      <c r="K21" s="15" t="inlineStr">
        <is>
          <t>格鬥（斧）</t>
        </is>
      </c>
      <c r="L21" s="24" t="inlineStr">
        <is>
          <t>1D6+1+DB</t>
        </is>
      </c>
      <c r="M21" s="24" t="inlineStr">
        <is>
          <t>√</t>
        </is>
      </c>
      <c r="N21" s="15" t="inlineStr">
        <is>
          <t>接觸</t>
        </is>
      </c>
      <c r="O21" s="15" t="inlineStr"/>
      <c r="P21" s="15" t="inlineStr"/>
      <c r="Q21" s="23" t="inlineStr">
        <is>
          <t>-</t>
        </is>
      </c>
    </row>
    <row r="22" ht="19" customHeight="1">
      <c r="A22" s="40" t="n">
        <v>18</v>
      </c>
      <c r="B22" s="40" t="inlineStr">
        <is>
          <t>醫療救護</t>
        </is>
      </c>
      <c r="C22" s="25" t="inlineStr">
        <is>
          <t>消防隊員</t>
        </is>
      </c>
      <c r="D22" s="24" t="inlineStr">
        <is>
          <t>EDU+(STRorDEX)</t>
        </is>
      </c>
      <c r="E22" s="20" t="inlineStr">
        <is>
          <t>9~30</t>
        </is>
      </c>
      <c r="F22" s="35" t="inlineStr">
        <is>
          <t>閃避、攀爬、跳躍、駕駛(車類)、急救、投擲、機械維修、重機械操作</t>
        </is>
      </c>
      <c r="H22" s="40" t="n">
        <v>18</v>
      </c>
      <c r="I22" s="40" t="inlineStr"/>
      <c r="J22" s="25" t="inlineStr">
        <is>
          <t>大型劍(騎兵大劍)</t>
        </is>
      </c>
      <c r="K22" s="40" t="inlineStr">
        <is>
          <t>格鬥（劍）</t>
        </is>
      </c>
      <c r="L22" s="24" t="inlineStr">
        <is>
          <t>1D8+1+DB</t>
        </is>
      </c>
      <c r="M22" s="24" t="inlineStr">
        <is>
          <t>-</t>
        </is>
      </c>
      <c r="N22" s="40" t="inlineStr">
        <is>
          <t>接觸</t>
        </is>
      </c>
      <c r="O22" s="40" t="inlineStr"/>
      <c r="P22" s="40" t="inlineStr"/>
      <c r="Q22" s="23" t="inlineStr">
        <is>
          <t>-</t>
        </is>
      </c>
    </row>
    <row r="23" ht="19" customHeight="1">
      <c r="A23" s="15" t="n">
        <v>19</v>
      </c>
      <c r="B23" s="15" t="inlineStr">
        <is>
          <t>醫療救護</t>
        </is>
      </c>
      <c r="C23" s="10" t="inlineStr">
        <is>
          <t>救難隊員</t>
        </is>
      </c>
      <c r="D23" s="24" t="inlineStr">
        <is>
          <t>EDU+STR</t>
        </is>
      </c>
      <c r="E23" s="12" t="inlineStr">
        <is>
          <t>9~30</t>
        </is>
      </c>
      <c r="F23" s="16" t="inlineStr">
        <is>
          <t>說服、攀爬、跳躍、領航、急救、他國語言×1、聆聽、追蹤</t>
        </is>
      </c>
      <c r="H23" s="15" t="n">
        <v>19</v>
      </c>
      <c r="I23" s="15" t="inlineStr"/>
      <c r="J23" s="10" t="inlineStr">
        <is>
          <t>中型劍(佩劍等)</t>
        </is>
      </c>
      <c r="K23" s="15" t="inlineStr">
        <is>
          <t>格鬥（劍）</t>
        </is>
      </c>
      <c r="L23" s="24" t="inlineStr">
        <is>
          <t>1D6+1+DB</t>
        </is>
      </c>
      <c r="M23" s="24" t="inlineStr">
        <is>
          <t>√</t>
        </is>
      </c>
      <c r="N23" s="15" t="inlineStr">
        <is>
          <t>接觸</t>
        </is>
      </c>
      <c r="O23" s="15" t="inlineStr"/>
      <c r="P23" s="15" t="inlineStr"/>
      <c r="Q23" s="23" t="inlineStr">
        <is>
          <t>-</t>
        </is>
      </c>
    </row>
    <row r="24" ht="19" customHeight="1">
      <c r="A24" s="40" t="n">
        <v>20</v>
      </c>
      <c r="B24" s="40" t="inlineStr">
        <is>
          <t>學術研究</t>
        </is>
      </c>
      <c r="C24" s="25" t="inlineStr">
        <is>
          <t>教授</t>
        </is>
      </c>
      <c r="D24" s="24" t="inlineStr">
        <is>
          <t>EDU</t>
        </is>
      </c>
      <c r="E24" s="20" t="inlineStr">
        <is>
          <t>20~70</t>
        </is>
      </c>
      <c r="F24" s="35" t="inlineStr">
        <is>
          <t>心理學、母語、他國語言×1、圖書館使用、學術專長/個人專長×4</t>
        </is>
      </c>
      <c r="H24" s="40" t="n">
        <v>20</v>
      </c>
      <c r="I24" s="40" t="inlineStr"/>
      <c r="J24" s="25" t="inlineStr">
        <is>
          <t>輕劍(擊劍、劍仗等)</t>
        </is>
      </c>
      <c r="K24" s="40" t="inlineStr">
        <is>
          <t>格鬥（劍）</t>
        </is>
      </c>
      <c r="L24" s="24" t="inlineStr">
        <is>
          <t>1D6+DB</t>
        </is>
      </c>
      <c r="M24" s="24" t="inlineStr">
        <is>
          <t>√</t>
        </is>
      </c>
      <c r="N24" s="40" t="inlineStr">
        <is>
          <t>接觸</t>
        </is>
      </c>
      <c r="O24" s="40" t="inlineStr"/>
      <c r="P24" s="40" t="inlineStr"/>
      <c r="Q24" s="23" t="inlineStr">
        <is>
          <t>-</t>
        </is>
      </c>
    </row>
    <row r="25" ht="19" customHeight="1">
      <c r="A25" s="15" t="n">
        <v>21</v>
      </c>
      <c r="B25" s="15" t="inlineStr">
        <is>
          <t>學術研究</t>
        </is>
      </c>
      <c r="C25" s="10" t="inlineStr">
        <is>
          <t>學生/實習生</t>
        </is>
      </c>
      <c r="D25" s="24" t="inlineStr">
        <is>
          <t>EDU</t>
        </is>
      </c>
      <c r="E25" s="12" t="inlineStr">
        <is>
          <t>5~10</t>
        </is>
      </c>
      <c r="F25" s="16" t="inlineStr">
        <is>
          <t>母國/他國語言×1、聆聽、圖書館使用、學習領域×3、個人專長×2</t>
        </is>
      </c>
      <c r="H25" s="15" t="n">
        <v>21</v>
      </c>
      <c r="I25" s="15" t="inlineStr"/>
      <c r="J25" s="10" t="inlineStr">
        <is>
          <t>矛(槍騎兵)</t>
        </is>
      </c>
      <c r="K25" s="15" t="inlineStr">
        <is>
          <t>格鬥（矛）</t>
        </is>
      </c>
      <c r="L25" s="24" t="inlineStr">
        <is>
          <t>1D8+1</t>
        </is>
      </c>
      <c r="M25" s="24" t="inlineStr">
        <is>
          <t>-</t>
        </is>
      </c>
      <c r="N25" s="15" t="inlineStr">
        <is>
          <t>接觸</t>
        </is>
      </c>
      <c r="O25" s="15" t="inlineStr"/>
      <c r="P25" s="15" t="inlineStr"/>
      <c r="Q25" s="23" t="inlineStr">
        <is>
          <t>-</t>
        </is>
      </c>
    </row>
    <row r="26" ht="19" customHeight="1">
      <c r="A26" s="40" t="n">
        <v>22</v>
      </c>
      <c r="B26" s="40" t="inlineStr">
        <is>
          <t>學術研究</t>
        </is>
      </c>
      <c r="C26" s="25" t="inlineStr">
        <is>
          <t>實驗室助理</t>
        </is>
      </c>
      <c r="D26" s="24" t="inlineStr">
        <is>
          <t>EDU</t>
        </is>
      </c>
      <c r="E26" s="20" t="inlineStr">
        <is>
          <t>10~30</t>
        </is>
      </c>
      <c r="F26" s="35" t="inlineStr">
        <is>
          <t>他國語言×1、化學、知識學問×2、電腦使用/圖書館使用、電器維修、偵察、個人專長×1</t>
        </is>
      </c>
      <c r="H26" s="40" t="n">
        <v>22</v>
      </c>
      <c r="I26" s="40" t="inlineStr"/>
      <c r="J26" s="25" t="inlineStr">
        <is>
          <t>伐木斧</t>
        </is>
      </c>
      <c r="K26" s="40" t="inlineStr">
        <is>
          <t>格鬥（斧）</t>
        </is>
      </c>
      <c r="L26" s="24" t="inlineStr">
        <is>
          <t>1D8+2+DB</t>
        </is>
      </c>
      <c r="M26" s="24" t="inlineStr">
        <is>
          <t>√</t>
        </is>
      </c>
      <c r="N26" s="40" t="inlineStr">
        <is>
          <t>接觸</t>
        </is>
      </c>
      <c r="O26" s="40" t="inlineStr"/>
      <c r="P26" s="40" t="inlineStr"/>
      <c r="Q26" s="23" t="inlineStr">
        <is>
          <t>-</t>
        </is>
      </c>
    </row>
    <row r="27" ht="19" customHeight="1">
      <c r="A27" s="15" t="n">
        <v>23</v>
      </c>
      <c r="B27" s="15" t="inlineStr">
        <is>
          <t>學術研究</t>
        </is>
      </c>
      <c r="C27" s="10" t="inlineStr">
        <is>
          <t>科學家</t>
        </is>
      </c>
      <c r="D27" s="24" t="inlineStr">
        <is>
          <t>EDU</t>
        </is>
      </c>
      <c r="E27" s="12" t="inlineStr">
        <is>
          <t>9~50</t>
        </is>
      </c>
      <c r="F27" s="16" t="inlineStr">
        <is>
          <t>魅惑/恐嚇/說服/話術、母語、他國語言×1、知識學問×3、電腦使用/圖書館使用、偵察</t>
        </is>
      </c>
      <c r="H27" s="15" t="n">
        <v>23</v>
      </c>
      <c r="I27" s="15" t="inlineStr"/>
      <c r="J27" s="10" t="inlineStr">
        <is>
          <t>弓箭</t>
        </is>
      </c>
      <c r="K27" s="15" t="inlineStr">
        <is>
          <t>弓箭</t>
        </is>
      </c>
      <c r="L27" s="24" t="inlineStr">
        <is>
          <t>1D6+一半DB</t>
        </is>
      </c>
      <c r="M27" s="24" t="inlineStr">
        <is>
          <t>-</t>
        </is>
      </c>
      <c r="N27" s="15" t="inlineStr">
        <is>
          <t>30碼</t>
        </is>
      </c>
      <c r="O27" s="15" t="inlineStr"/>
      <c r="P27" s="15" t="inlineStr"/>
      <c r="Q27" s="23" t="inlineStr">
        <is>
          <t>97.0</t>
        </is>
      </c>
    </row>
    <row r="28" ht="19" customHeight="1">
      <c r="A28" s="40" t="n">
        <v>24</v>
      </c>
      <c r="B28" s="40" t="inlineStr">
        <is>
          <t>學術研究</t>
        </is>
      </c>
      <c r="C28" s="25" t="inlineStr">
        <is>
          <t>心理學家/心理諮詢師</t>
        </is>
      </c>
      <c r="D28" s="24" t="inlineStr">
        <is>
          <t>EDU</t>
        </is>
      </c>
      <c r="E28" s="20" t="inlineStr">
        <is>
          <t>10~40</t>
        </is>
      </c>
      <c r="F28" s="35" t="inlineStr">
        <is>
          <t>說服、心理學、心理分析、會計、圖書館使用、聆聽、學術專長/個人專長×2</t>
        </is>
      </c>
      <c r="H28" s="40" t="n">
        <v>24</v>
      </c>
      <c r="I28" s="40" t="inlineStr"/>
      <c r="J28" s="25" t="inlineStr">
        <is>
          <t>十字弩</t>
        </is>
      </c>
      <c r="K28" s="40" t="inlineStr">
        <is>
          <t>弓箭</t>
        </is>
      </c>
      <c r="L28" s="24" t="inlineStr">
        <is>
          <t>1D8+2</t>
        </is>
      </c>
      <c r="M28" s="24" t="inlineStr">
        <is>
          <t>√</t>
        </is>
      </c>
      <c r="N28" s="40" t="inlineStr">
        <is>
          <t>50碼</t>
        </is>
      </c>
      <c r="O28" s="40" t="inlineStr"/>
      <c r="P28" s="40" t="inlineStr"/>
      <c r="Q28" s="23" t="inlineStr">
        <is>
          <t>96.0</t>
        </is>
      </c>
    </row>
    <row r="29" ht="19" customHeight="1">
      <c r="A29" s="15" t="n">
        <v>25</v>
      </c>
      <c r="B29" s="15" t="inlineStr">
        <is>
          <t>學術研究</t>
        </is>
      </c>
      <c r="C29" s="10" t="inlineStr">
        <is>
          <t>研究者</t>
        </is>
      </c>
      <c r="D29" s="24" t="inlineStr">
        <is>
          <t>EDU</t>
        </is>
      </c>
      <c r="E29" s="12" t="inlineStr">
        <is>
          <t>9~30</t>
        </is>
      </c>
      <c r="F29" s="16" t="inlineStr">
        <is>
          <t>魅惑/恐嚇/說服/話術、他國語言×1、歷史、偵察、圖書館使用、研究領域×3</t>
        </is>
      </c>
      <c r="H29" s="15" t="n">
        <v>25</v>
      </c>
      <c r="I29" s="15" t="inlineStr"/>
      <c r="J29" s="10" t="inlineStr">
        <is>
          <t>泰瑟槍(遠程)</t>
        </is>
      </c>
      <c r="K29" s="15" t="inlineStr">
        <is>
          <t>手槍</t>
        </is>
      </c>
      <c r="L29" s="24" t="inlineStr">
        <is>
          <t>1D3+眩暈</t>
        </is>
      </c>
      <c r="M29" s="24" t="inlineStr">
        <is>
          <t>-</t>
        </is>
      </c>
      <c r="N29" s="15" t="inlineStr">
        <is>
          <t>15英尺</t>
        </is>
      </c>
      <c r="O29" s="15" t="inlineStr"/>
      <c r="P29" s="15" t="inlineStr"/>
      <c r="Q29" s="23" t="inlineStr">
        <is>
          <t>95.0</t>
        </is>
      </c>
    </row>
    <row r="30" ht="19" customHeight="1">
      <c r="A30" s="40" t="n">
        <v>26</v>
      </c>
      <c r="B30" s="40" t="inlineStr">
        <is>
          <t>學術研究</t>
        </is>
      </c>
      <c r="C30" s="25" t="inlineStr">
        <is>
          <t>行為科學研究者</t>
        </is>
      </c>
      <c r="D30" s="24" t="inlineStr">
        <is>
          <t>EDU+POW</t>
        </is>
      </c>
      <c r="E30" s="20" t="inlineStr">
        <is>
          <t>10~70</t>
        </is>
      </c>
      <c r="F30" s="35" t="inlineStr">
        <is>
          <t>說服、魅惑/恐嚇/說服/話術、心理學/特殊學問(制約)、人類學、動物學、其它科學(行為主義)、聆聽、圖書館使用</t>
        </is>
      </c>
      <c r="H30" s="40" t="n">
        <v>26</v>
      </c>
      <c r="I30" s="40" t="inlineStr"/>
      <c r="J30" s="25" t="inlineStr">
        <is>
          <t>拋出的石塊</t>
        </is>
      </c>
      <c r="K30" s="40" t="inlineStr">
        <is>
          <t>投擲</t>
        </is>
      </c>
      <c r="L30" s="24" t="inlineStr">
        <is>
          <t>1D4+一半DB</t>
        </is>
      </c>
      <c r="M30" s="24" t="inlineStr">
        <is>
          <t>-</t>
        </is>
      </c>
      <c r="N30" s="40" t="inlineStr">
        <is>
          <t>STR/5(碼)</t>
        </is>
      </c>
      <c r="O30" s="40" t="inlineStr"/>
      <c r="P30" s="40" t="inlineStr"/>
      <c r="Q30" s="23" t="inlineStr">
        <is>
          <t>-</t>
        </is>
      </c>
    </row>
    <row r="31" ht="19" customHeight="1">
      <c r="A31" s="15" t="n">
        <v>27</v>
      </c>
      <c r="B31" s="15" t="inlineStr">
        <is>
          <t>學術研究</t>
        </is>
      </c>
      <c r="C31" s="10" t="inlineStr">
        <is>
          <t>犯罪側寫分析師</t>
        </is>
      </c>
      <c r="D31" s="24" t="inlineStr">
        <is>
          <t>EDU+POW</t>
        </is>
      </c>
      <c r="E31" s="12" t="inlineStr">
        <is>
          <t>20~60</t>
        </is>
      </c>
      <c r="F31" s="16" t="inlineStr">
        <is>
          <t>心理學、精神分析、人類學、其它科學(犯罪學)、神秘學、歷史、偵察、圖書館使用</t>
        </is>
      </c>
      <c r="H31" s="15" t="n">
        <v>27</v>
      </c>
      <c r="I31" s="15" t="inlineStr"/>
      <c r="J31" s="10" t="inlineStr">
        <is>
          <t>利刃迴旋鏢</t>
        </is>
      </c>
      <c r="K31" s="15" t="inlineStr">
        <is>
          <t>投擲</t>
        </is>
      </c>
      <c r="L31" s="24" t="inlineStr">
        <is>
          <t>1D8+一半DB</t>
        </is>
      </c>
      <c r="M31" s="24" t="inlineStr">
        <is>
          <t>-</t>
        </is>
      </c>
      <c r="N31" s="15" t="inlineStr">
        <is>
          <t>STR/5(碼)</t>
        </is>
      </c>
      <c r="O31" s="15" t="inlineStr"/>
      <c r="P31" s="15" t="inlineStr"/>
      <c r="Q31" s="23" t="inlineStr">
        <is>
          <t>-</t>
        </is>
      </c>
    </row>
    <row r="32" ht="19" customHeight="1">
      <c r="A32" s="40" t="n">
        <v>28</v>
      </c>
      <c r="B32" s="40" t="inlineStr">
        <is>
          <t>學術研究</t>
        </is>
      </c>
      <c r="C32" s="25" t="inlineStr">
        <is>
          <t>考古學家</t>
        </is>
      </c>
      <c r="D32" s="24" t="inlineStr">
        <is>
          <t>EDU</t>
        </is>
      </c>
      <c r="E32" s="20" t="inlineStr">
        <is>
          <t>10~40</t>
        </is>
      </c>
      <c r="F32" s="35" t="inlineStr">
        <is>
          <t>他國語言×1、領航/知識學問×1、考古學、歷史、估價、機械維修、偵察、圖書館使用</t>
        </is>
      </c>
      <c r="H32" s="40" t="n">
        <v>28</v>
      </c>
      <c r="I32" s="40" t="inlineStr"/>
      <c r="J32" s="25" t="inlineStr">
        <is>
          <t>苦無</t>
        </is>
      </c>
      <c r="K32" s="40" t="inlineStr">
        <is>
          <t>投擲</t>
        </is>
      </c>
      <c r="L32" s="24" t="inlineStr">
        <is>
          <t>1D3+一半DB</t>
        </is>
      </c>
      <c r="M32" s="24" t="inlineStr">
        <is>
          <t>√</t>
        </is>
      </c>
      <c r="N32" s="40" t="inlineStr">
        <is>
          <t>20碼</t>
        </is>
      </c>
      <c r="O32" s="40" t="inlineStr"/>
      <c r="P32" s="40" t="inlineStr"/>
      <c r="Q32" s="23" t="inlineStr">
        <is>
          <t>100.0</t>
        </is>
      </c>
    </row>
    <row r="33" ht="19" customHeight="1">
      <c r="A33" s="15" t="n">
        <v>29</v>
      </c>
      <c r="B33" s="15" t="inlineStr">
        <is>
          <t>學術研究</t>
        </is>
      </c>
      <c r="C33" s="10" t="inlineStr">
        <is>
          <t>民俗學家</t>
        </is>
      </c>
      <c r="D33" s="24" t="inlineStr">
        <is>
          <t>EDU</t>
        </is>
      </c>
      <c r="E33" s="12" t="inlineStr">
        <is>
          <t>9~40</t>
        </is>
      </c>
      <c r="F33" s="16" t="inlineStr">
        <is>
          <t>魅惑/恐嚇/說服/話術、心理學、人類學、神秘學、歷史、偵察、圖書館使用、特殊學問(傳說)</t>
        </is>
      </c>
      <c r="H33" s="15" t="n">
        <v>29</v>
      </c>
      <c r="I33" s="15" t="inlineStr"/>
      <c r="J33" s="10" t="inlineStr">
        <is>
          <t>擲矛</t>
        </is>
      </c>
      <c r="K33" s="15" t="inlineStr">
        <is>
          <t>投擲</t>
        </is>
      </c>
      <c r="L33" s="24" t="inlineStr">
        <is>
          <t>1D8+一半DB</t>
        </is>
      </c>
      <c r="M33" s="24" t="inlineStr">
        <is>
          <t>√</t>
        </is>
      </c>
      <c r="N33" s="15" t="inlineStr">
        <is>
          <t>STR/5(碼)</t>
        </is>
      </c>
      <c r="O33" s="15" t="inlineStr"/>
      <c r="P33" s="15" t="inlineStr"/>
      <c r="Q33" s="23" t="inlineStr">
        <is>
          <t>-</t>
        </is>
      </c>
    </row>
    <row r="34" ht="19" customHeight="1">
      <c r="A34" s="40" t="n">
        <v>30</v>
      </c>
      <c r="B34" s="40" t="inlineStr">
        <is>
          <t>商界</t>
        </is>
      </c>
      <c r="C34" s="25" t="inlineStr">
        <is>
          <t>書商</t>
        </is>
      </c>
      <c r="D34" s="24" t="inlineStr">
        <is>
          <t>EDU</t>
        </is>
      </c>
      <c r="E34" s="20" t="inlineStr">
        <is>
          <t>20~40</t>
        </is>
      </c>
      <c r="F34" s="35" t="inlineStr">
        <is>
          <t>魅惑/恐嚇/說服/話術、駕駛(車類)、母語、他國語言×1、歷史、會計、估價、圖書館使用</t>
        </is>
      </c>
      <c r="H34" s="40" t="n">
        <v>30</v>
      </c>
      <c r="I34" s="40" t="inlineStr"/>
      <c r="J34" s="25" t="inlineStr">
        <is>
          <t>遂發槍</t>
        </is>
      </c>
      <c r="K34" s="40" t="inlineStr">
        <is>
          <t>手槍</t>
        </is>
      </c>
      <c r="L34" s="24" t="inlineStr">
        <is>
          <t>1D6+1</t>
        </is>
      </c>
      <c r="M34" s="24" t="inlineStr">
        <is>
          <t>√</t>
        </is>
      </c>
      <c r="N34" s="40" t="inlineStr">
        <is>
          <t>10.0</t>
        </is>
      </c>
      <c r="O34" s="40" t="inlineStr"/>
      <c r="P34" s="40" t="inlineStr"/>
      <c r="Q34" s="23" t="inlineStr">
        <is>
          <t>95.0</t>
        </is>
      </c>
    </row>
    <row r="35" ht="19" customHeight="1">
      <c r="A35" s="15" t="n">
        <v>31</v>
      </c>
      <c r="B35" s="15" t="inlineStr">
        <is>
          <t>商界</t>
        </is>
      </c>
      <c r="C35" s="10" t="inlineStr">
        <is>
          <t>古董商</t>
        </is>
      </c>
      <c r="D35" s="24" t="inlineStr">
        <is>
          <t>EDU</t>
        </is>
      </c>
      <c r="E35" s="12" t="inlineStr">
        <is>
          <t>30~50</t>
        </is>
      </c>
      <c r="F35" s="16" t="inlineStr">
        <is>
          <t>四選二：魅惑/恐嚇/說服/話術、領航、駕駛(車類)、歷史、會計、估價、圖書館使用</t>
        </is>
      </c>
      <c r="H35" s="15" t="n">
        <v>31</v>
      </c>
      <c r="I35" s="15" t="inlineStr"/>
      <c r="J35" s="10" t="inlineStr">
        <is>
          <t>.22短口自動手槍</t>
        </is>
      </c>
      <c r="K35" s="15" t="inlineStr">
        <is>
          <t>手槍</t>
        </is>
      </c>
      <c r="L35" s="24" t="inlineStr">
        <is>
          <t>1D6</t>
        </is>
      </c>
      <c r="M35" s="24" t="inlineStr">
        <is>
          <t>√</t>
        </is>
      </c>
      <c r="N35" s="15" t="inlineStr">
        <is>
          <t>10.0</t>
        </is>
      </c>
      <c r="O35" s="15" t="inlineStr"/>
      <c r="P35" s="15" t="inlineStr"/>
      <c r="Q35" s="23" t="inlineStr">
        <is>
          <t>100.0</t>
        </is>
      </c>
    </row>
    <row r="36" ht="19" customHeight="1">
      <c r="A36" s="40" t="n">
        <v>32</v>
      </c>
      <c r="B36" s="40" t="inlineStr">
        <is>
          <t>演藝界</t>
        </is>
      </c>
      <c r="C36" s="25" t="inlineStr">
        <is>
          <t>藝人</t>
        </is>
      </c>
      <c r="D36" s="24" t="inlineStr">
        <is>
          <t>EDU+APP</t>
        </is>
      </c>
      <c r="E36" s="20" t="inlineStr">
        <is>
          <t>9~70</t>
        </is>
      </c>
      <c r="F36" s="35" t="inlineStr">
        <is>
          <t>四選二：魅惑/恐嚇/說服/話術、心理學、喬裝、聆聽、美術工藝×1(e.g.表演/歌唱/喜劇)、個人專長×2</t>
        </is>
      </c>
      <c r="H36" s="40" t="n">
        <v>32</v>
      </c>
      <c r="I36" s="40" t="inlineStr"/>
      <c r="J36" s="25" t="inlineStr">
        <is>
          <t>.25短口手槍(單管)</t>
        </is>
      </c>
      <c r="K36" s="40" t="inlineStr">
        <is>
          <t>手槍</t>
        </is>
      </c>
      <c r="L36" s="24" t="inlineStr">
        <is>
          <t>1D6</t>
        </is>
      </c>
      <c r="M36" s="24" t="inlineStr">
        <is>
          <t>√</t>
        </is>
      </c>
      <c r="N36" s="40" t="inlineStr">
        <is>
          <t>3.0</t>
        </is>
      </c>
      <c r="O36" s="40" t="inlineStr"/>
      <c r="P36" s="40" t="inlineStr"/>
      <c r="Q36" s="23" t="inlineStr">
        <is>
          <t>100.0</t>
        </is>
      </c>
    </row>
    <row r="37" ht="19" customHeight="1">
      <c r="A37" s="15" t="n">
        <v>33</v>
      </c>
      <c r="B37" s="15" t="inlineStr">
        <is>
          <t>演藝界</t>
        </is>
      </c>
      <c r="C37" s="10" t="inlineStr">
        <is>
          <t>電影明星</t>
        </is>
      </c>
      <c r="D37" s="24" t="inlineStr">
        <is>
          <t>EDU+APP</t>
        </is>
      </c>
      <c r="E37" s="12" t="inlineStr">
        <is>
          <t>20~90</t>
        </is>
      </c>
      <c r="F37" s="16" t="inlineStr">
        <is>
          <t>四選二：魅惑/恐嚇/說服/話術、心理學、駕駛(車類)、喬裝、演技、個人專長×2</t>
        </is>
      </c>
      <c r="H37" s="15" t="n">
        <v>33</v>
      </c>
      <c r="I37" s="15" t="inlineStr"/>
      <c r="J37" s="10" t="inlineStr">
        <is>
          <t>.32 or 7.65mm左輪手槍</t>
        </is>
      </c>
      <c r="K37" s="15" t="inlineStr">
        <is>
          <t>手槍</t>
        </is>
      </c>
      <c r="L37" s="24" t="inlineStr">
        <is>
          <t>1D8</t>
        </is>
      </c>
      <c r="M37" s="24" t="inlineStr">
        <is>
          <t>√</t>
        </is>
      </c>
      <c r="N37" s="15" t="inlineStr">
        <is>
          <t>15.0</t>
        </is>
      </c>
      <c r="O37" s="15" t="inlineStr"/>
      <c r="P37" s="15" t="inlineStr"/>
      <c r="Q37" s="23" t="inlineStr">
        <is>
          <t>100.0</t>
        </is>
      </c>
    </row>
    <row r="38" ht="19" customHeight="1">
      <c r="A38" s="40" t="n">
        <v>34</v>
      </c>
      <c r="B38" s="40" t="inlineStr">
        <is>
          <t>演藝界</t>
        </is>
      </c>
      <c r="C38" s="25" t="inlineStr">
        <is>
          <t>舞台演員</t>
        </is>
      </c>
      <c r="D38" s="24" t="inlineStr">
        <is>
          <t>EDU+APP</t>
        </is>
      </c>
      <c r="E38" s="20" t="inlineStr">
        <is>
          <t>9~40</t>
        </is>
      </c>
      <c r="F38" s="35" t="inlineStr">
        <is>
          <t>四選二：魅惑/恐嚇/說服/話術、心理學、戰鬥×1、歷史、喬裝、演技、個人專長×1</t>
        </is>
      </c>
      <c r="H38" s="40" t="n">
        <v>34</v>
      </c>
      <c r="I38" s="40" t="inlineStr"/>
      <c r="J38" s="25" t="inlineStr">
        <is>
          <t>.32 or 7.65mm自動手槍</t>
        </is>
      </c>
      <c r="K38" s="40" t="inlineStr">
        <is>
          <t>手槍</t>
        </is>
      </c>
      <c r="L38" s="24" t="inlineStr">
        <is>
          <t>1D8</t>
        </is>
      </c>
      <c r="M38" s="24" t="inlineStr">
        <is>
          <t>√</t>
        </is>
      </c>
      <c r="N38" s="40" t="inlineStr">
        <is>
          <t>15.0</t>
        </is>
      </c>
      <c r="O38" s="40" t="inlineStr"/>
      <c r="P38" s="40" t="inlineStr"/>
      <c r="Q38" s="23" t="inlineStr">
        <is>
          <t>99.0</t>
        </is>
      </c>
    </row>
    <row r="39" ht="19" customHeight="1">
      <c r="A39" s="15" t="n">
        <v>35</v>
      </c>
      <c r="B39" s="15" t="inlineStr">
        <is>
          <t>演藝界</t>
        </is>
      </c>
      <c r="C39" s="10" t="inlineStr">
        <is>
          <t>雜技演員</t>
        </is>
      </c>
      <c r="D39" s="24" t="inlineStr">
        <is>
          <t>EDU+DEX</t>
        </is>
      </c>
      <c r="E39" s="12" t="inlineStr">
        <is>
          <t>9~20</t>
        </is>
      </c>
      <c r="F39" s="16" t="inlineStr">
        <is>
          <t>閃避、攀爬、跳躍、游泳、投擲、偵察、個人專長×2</t>
        </is>
      </c>
      <c r="H39" s="15" t="n">
        <v>35</v>
      </c>
      <c r="I39" s="15" t="inlineStr"/>
      <c r="J39" s="10" t="inlineStr">
        <is>
          <t>.357 Magnum左輪手槍</t>
        </is>
      </c>
      <c r="K39" s="15" t="inlineStr">
        <is>
          <t>手槍</t>
        </is>
      </c>
      <c r="L39" s="24" t="inlineStr">
        <is>
          <t>1D8+1D4</t>
        </is>
      </c>
      <c r="M39" s="24" t="inlineStr">
        <is>
          <t>√</t>
        </is>
      </c>
      <c r="N39" s="15" t="inlineStr">
        <is>
          <t>15.0</t>
        </is>
      </c>
      <c r="O39" s="15" t="inlineStr"/>
      <c r="P39" s="15" t="inlineStr"/>
      <c r="Q39" s="23" t="inlineStr">
        <is>
          <t>100.0</t>
        </is>
      </c>
    </row>
    <row r="40" ht="19" customHeight="1">
      <c r="A40" s="40" t="n">
        <v>36</v>
      </c>
      <c r="B40" s="40" t="inlineStr">
        <is>
          <t>演藝界</t>
        </is>
      </c>
      <c r="C40" s="25" t="inlineStr">
        <is>
          <t>替身演員</t>
        </is>
      </c>
      <c r="D40" s="24" t="inlineStr">
        <is>
          <t>EDU+(STRorDEX)</t>
        </is>
      </c>
      <c r="E40" s="20" t="inlineStr">
        <is>
          <t>10~50</t>
        </is>
      </c>
      <c r="F40" s="35" t="inlineStr">
        <is>
          <t>閃避、攀爬、跳躍、游泳、急救、戰鬥×1、電器維修/機械維修、騎術/潛水/駕駛(任意)</t>
        </is>
      </c>
      <c r="H40" s="40" t="n">
        <v>36</v>
      </c>
      <c r="I40" s="40" t="inlineStr"/>
      <c r="J40" s="25" t="inlineStr">
        <is>
          <t>.38 or 9mm左輪手槍</t>
        </is>
      </c>
      <c r="K40" s="40" t="inlineStr">
        <is>
          <t>手槍</t>
        </is>
      </c>
      <c r="L40" s="24" t="inlineStr">
        <is>
          <t>1D10</t>
        </is>
      </c>
      <c r="M40" s="24" t="inlineStr">
        <is>
          <t>√</t>
        </is>
      </c>
      <c r="N40" s="40" t="inlineStr">
        <is>
          <t>15.0</t>
        </is>
      </c>
      <c r="O40" s="40" t="inlineStr"/>
      <c r="P40" s="40" t="inlineStr"/>
      <c r="Q40" s="23" t="inlineStr">
        <is>
          <t>100.0</t>
        </is>
      </c>
    </row>
    <row r="41" ht="19" customHeight="1">
      <c r="A41" s="15" t="n">
        <v>37</v>
      </c>
      <c r="B41" s="15" t="inlineStr">
        <is>
          <t>新聞媒體</t>
        </is>
      </c>
      <c r="C41" s="10" t="inlineStr">
        <is>
          <t>新聞記者</t>
        </is>
      </c>
      <c r="D41" s="24" t="inlineStr">
        <is>
          <t>EDU</t>
        </is>
      </c>
      <c r="E41" s="12" t="inlineStr">
        <is>
          <t>9~30</t>
        </is>
      </c>
      <c r="F41" s="16" t="inlineStr">
        <is>
          <t>魅惑/恐嚇/說服/話術、心理學、隱密行動、母語、歷史、偵察、聆聽、演技</t>
        </is>
      </c>
      <c r="H41" s="15" t="n">
        <v>37</v>
      </c>
      <c r="I41" s="15" t="inlineStr"/>
      <c r="J41" s="10" t="inlineStr">
        <is>
          <t>.38自動手槍</t>
        </is>
      </c>
      <c r="K41" s="15" t="inlineStr">
        <is>
          <t>手槍</t>
        </is>
      </c>
      <c r="L41" s="24" t="inlineStr">
        <is>
          <t>1D10</t>
        </is>
      </c>
      <c r="M41" s="24" t="inlineStr">
        <is>
          <t>√</t>
        </is>
      </c>
      <c r="N41" s="15" t="inlineStr">
        <is>
          <t>15.0</t>
        </is>
      </c>
      <c r="O41" s="15" t="inlineStr"/>
      <c r="P41" s="15" t="inlineStr"/>
      <c r="Q41" s="23" t="inlineStr">
        <is>
          <t>99.0</t>
        </is>
      </c>
    </row>
    <row r="42" ht="19" customHeight="1">
      <c r="A42" s="40" t="n">
        <v>38</v>
      </c>
      <c r="B42" s="40" t="inlineStr">
        <is>
          <t>新聞媒體</t>
        </is>
      </c>
      <c r="C42" s="25" t="inlineStr">
        <is>
          <t>文字記者</t>
        </is>
      </c>
      <c r="D42" s="24" t="inlineStr">
        <is>
          <t>EDU</t>
        </is>
      </c>
      <c r="E42" s="20" t="inlineStr">
        <is>
          <t>9~30</t>
        </is>
      </c>
      <c r="F42" s="35" t="inlineStr">
        <is>
          <t>魅惑/恐嚇/說服/話術、心理學、母語、歷史、圖書館使用、美術/攝影、個人專長×2</t>
        </is>
      </c>
      <c r="H42" s="40" t="n">
        <v>38</v>
      </c>
      <c r="I42" s="40" t="inlineStr"/>
      <c r="J42" s="25" t="inlineStr">
        <is>
          <t>貝雷塔M9</t>
        </is>
      </c>
      <c r="K42" s="40" t="inlineStr">
        <is>
          <t>手槍</t>
        </is>
      </c>
      <c r="L42" s="24" t="inlineStr">
        <is>
          <t>1D10</t>
        </is>
      </c>
      <c r="M42" s="24" t="inlineStr">
        <is>
          <t>√</t>
        </is>
      </c>
      <c r="N42" s="40" t="inlineStr">
        <is>
          <t>15.0</t>
        </is>
      </c>
      <c r="O42" s="40" t="inlineStr"/>
      <c r="P42" s="40" t="inlineStr"/>
      <c r="Q42" s="23" t="inlineStr">
        <is>
          <t>98.0</t>
        </is>
      </c>
    </row>
    <row r="43" ht="19" customHeight="1">
      <c r="A43" s="15" t="n">
        <v>39</v>
      </c>
      <c r="B43" s="15" t="inlineStr">
        <is>
          <t>新聞媒體</t>
        </is>
      </c>
      <c r="C43" s="10" t="inlineStr">
        <is>
          <t>攝影記者</t>
        </is>
      </c>
      <c r="D43" s="24" t="inlineStr">
        <is>
          <t>EDU</t>
        </is>
      </c>
      <c r="E43" s="12" t="inlineStr">
        <is>
          <t>10~30</t>
        </is>
      </c>
      <c r="F43" s="16" t="inlineStr">
        <is>
          <t>魅惑/恐嚇/說服/話術、心理學、攀爬、他國語言×1、化學、攝影、個人專長×2</t>
        </is>
      </c>
      <c r="H43" s="15" t="n">
        <v>39</v>
      </c>
      <c r="I43" s="15" t="inlineStr"/>
      <c r="J43" s="10" t="inlineStr">
        <is>
          <t>格洛克17 9mm自動手槍</t>
        </is>
      </c>
      <c r="K43" s="15" t="inlineStr">
        <is>
          <t>手槍</t>
        </is>
      </c>
      <c r="L43" s="24" t="inlineStr">
        <is>
          <t>1D10</t>
        </is>
      </c>
      <c r="M43" s="24" t="inlineStr">
        <is>
          <t>√</t>
        </is>
      </c>
      <c r="N43" s="15" t="inlineStr">
        <is>
          <t>15.0</t>
        </is>
      </c>
      <c r="O43" s="15" t="inlineStr"/>
      <c r="P43" s="15" t="inlineStr"/>
      <c r="Q43" s="23" t="inlineStr">
        <is>
          <t>98.0</t>
        </is>
      </c>
    </row>
    <row r="44" ht="19" customHeight="1">
      <c r="A44" s="40" t="n">
        <v>40</v>
      </c>
      <c r="B44" s="40" t="inlineStr">
        <is>
          <t>新聞媒體</t>
        </is>
      </c>
      <c r="C44" s="25" t="inlineStr">
        <is>
          <t>海外特派員/記者</t>
        </is>
      </c>
      <c r="D44" s="24" t="inlineStr">
        <is>
          <t>EDU</t>
        </is>
      </c>
      <c r="E44" s="20" t="inlineStr">
        <is>
          <t>10~40</t>
        </is>
      </c>
      <c r="F44" s="35" t="inlineStr">
        <is>
          <t>四選二：魅惑/恐嚇/說服/話術、心理學、母語、他國語言×1、歷史、聆聽、個人專長×1</t>
        </is>
      </c>
      <c r="H44" s="40" t="n">
        <v>40</v>
      </c>
      <c r="I44" s="40" t="inlineStr"/>
      <c r="J44" s="25" t="inlineStr">
        <is>
          <t>魯格P08</t>
        </is>
      </c>
      <c r="K44" s="40" t="inlineStr">
        <is>
          <t>手槍</t>
        </is>
      </c>
      <c r="L44" s="24" t="inlineStr">
        <is>
          <t>1D10</t>
        </is>
      </c>
      <c r="M44" s="24" t="inlineStr">
        <is>
          <t>√</t>
        </is>
      </c>
      <c r="N44" s="40" t="inlineStr">
        <is>
          <t>15.0</t>
        </is>
      </c>
      <c r="O44" s="40" t="inlineStr"/>
      <c r="P44" s="40" t="inlineStr"/>
      <c r="Q44" s="23" t="inlineStr">
        <is>
          <t>99.0</t>
        </is>
      </c>
    </row>
    <row r="45" ht="19" customHeight="1">
      <c r="A45" s="15" t="n">
        <v>41</v>
      </c>
      <c r="B45" s="15" t="inlineStr">
        <is>
          <t>文藝工作者</t>
        </is>
      </c>
      <c r="C45" s="10" t="inlineStr">
        <is>
          <t>作家</t>
        </is>
      </c>
      <c r="D45" s="24" t="inlineStr">
        <is>
          <t>EDU</t>
        </is>
      </c>
      <c r="E45" s="12" t="inlineStr">
        <is>
          <t>9~30</t>
        </is>
      </c>
      <c r="F45" s="16" t="inlineStr">
        <is>
          <t>心理學、母語、他國語言×1、自然學/神祕學、歷史、圖書館使用、美術工藝(文學)、個人專長×1</t>
        </is>
      </c>
      <c r="H45" s="15" t="n">
        <v>41</v>
      </c>
      <c r="I45" s="15" t="inlineStr"/>
      <c r="J45" s="10" t="inlineStr">
        <is>
          <t>.41左輪手槍</t>
        </is>
      </c>
      <c r="K45" s="15" t="inlineStr">
        <is>
          <t>手槍</t>
        </is>
      </c>
      <c r="L45" s="24" t="inlineStr">
        <is>
          <t>1D10</t>
        </is>
      </c>
      <c r="M45" s="24" t="inlineStr">
        <is>
          <t>√</t>
        </is>
      </c>
      <c r="N45" s="15" t="inlineStr">
        <is>
          <t>15.0</t>
        </is>
      </c>
      <c r="O45" s="15" t="inlineStr"/>
      <c r="P45" s="15" t="inlineStr"/>
      <c r="Q45" s="23" t="inlineStr">
        <is>
          <t>100.0</t>
        </is>
      </c>
    </row>
    <row r="46" ht="19" customHeight="1">
      <c r="A46" s="40" t="n">
        <v>42</v>
      </c>
      <c r="B46" s="40" t="inlineStr">
        <is>
          <t>文藝工作者</t>
        </is>
      </c>
      <c r="C46" s="25" t="inlineStr">
        <is>
          <t>藝術家</t>
        </is>
      </c>
      <c r="D46" s="24" t="inlineStr">
        <is>
          <t>EDU+(DEXorPOW)</t>
        </is>
      </c>
      <c r="E46" s="20" t="inlineStr">
        <is>
          <t>9~50</t>
        </is>
      </c>
      <c r="F46" s="35" t="inlineStr">
        <is>
          <t>魅惑/恐嚇/說服/話術、心理學、他國語言×1、自然學/歷史、偵察、美術工藝×1、個人專長×2</t>
        </is>
      </c>
      <c r="H46" s="40" t="n">
        <v>42</v>
      </c>
      <c r="I46" s="40" t="inlineStr"/>
      <c r="J46" s="25" t="inlineStr">
        <is>
          <t>.44馬格南左輪手槍</t>
        </is>
      </c>
      <c r="K46" s="40" t="inlineStr">
        <is>
          <t>手槍</t>
        </is>
      </c>
      <c r="L46" s="24" t="inlineStr">
        <is>
          <t>1D10+1D4+2</t>
        </is>
      </c>
      <c r="M46" s="24" t="inlineStr">
        <is>
          <t>√</t>
        </is>
      </c>
      <c r="N46" s="40" t="inlineStr">
        <is>
          <t>15.0</t>
        </is>
      </c>
      <c r="O46" s="40" t="inlineStr"/>
      <c r="P46" s="40" t="inlineStr"/>
      <c r="Q46" s="23" t="inlineStr">
        <is>
          <t>100.0</t>
        </is>
      </c>
    </row>
    <row r="47" ht="19" customHeight="1">
      <c r="A47" s="15" t="n">
        <v>43</v>
      </c>
      <c r="B47" s="15" t="inlineStr">
        <is>
          <t>文藝工作者</t>
        </is>
      </c>
      <c r="C47" s="10" t="inlineStr">
        <is>
          <t>音樂家</t>
        </is>
      </c>
      <c r="D47" s="24" t="inlineStr">
        <is>
          <t>EDU+(DEXorPOW)</t>
        </is>
      </c>
      <c r="E47" s="12" t="inlineStr">
        <is>
          <t>9~30</t>
        </is>
      </c>
      <c r="F47" s="16" t="inlineStr">
        <is>
          <t>魅惑/恐嚇/說服/話術、心理學、美術工藝(樂器)、聆聽、個人專長×4</t>
        </is>
      </c>
      <c r="H47" s="15" t="n">
        <v>43</v>
      </c>
      <c r="I47" s="15" t="inlineStr"/>
      <c r="J47" s="10" t="inlineStr">
        <is>
          <t>.45左輪手槍</t>
        </is>
      </c>
      <c r="K47" s="15" t="inlineStr">
        <is>
          <t>手槍</t>
        </is>
      </c>
      <c r="L47" s="24" t="inlineStr">
        <is>
          <t>1D10+2</t>
        </is>
      </c>
      <c r="M47" s="24" t="inlineStr">
        <is>
          <t>√</t>
        </is>
      </c>
      <c r="N47" s="15" t="inlineStr">
        <is>
          <t>15.0</t>
        </is>
      </c>
      <c r="O47" s="15" t="inlineStr"/>
      <c r="P47" s="15" t="inlineStr"/>
      <c r="Q47" s="23" t="inlineStr">
        <is>
          <t>100.0</t>
        </is>
      </c>
    </row>
    <row r="48" ht="19" customHeight="1">
      <c r="A48" s="40" t="n">
        <v>44</v>
      </c>
      <c r="B48" s="40" t="inlineStr">
        <is>
          <t>文藝工作者</t>
        </is>
      </c>
      <c r="C48" s="25" t="inlineStr">
        <is>
          <t>設計師</t>
        </is>
      </c>
      <c r="D48" s="24" t="inlineStr">
        <is>
          <t>EDU</t>
        </is>
      </c>
      <c r="E48" s="20" t="inlineStr">
        <is>
          <t>20~60</t>
        </is>
      </c>
      <c r="F48" s="35" t="inlineStr">
        <is>
          <t>心理學、會計、電腦使用/圖書館使用、機械維修、偵察、攝影、美術工藝×1、個人專長×1</t>
        </is>
      </c>
      <c r="H48" s="40" t="n">
        <v>44</v>
      </c>
      <c r="I48" s="40" t="inlineStr"/>
      <c r="J48" s="25" t="inlineStr">
        <is>
          <t>.45自動手槍</t>
        </is>
      </c>
      <c r="K48" s="40" t="inlineStr">
        <is>
          <t>手槍</t>
        </is>
      </c>
      <c r="L48" s="24" t="inlineStr">
        <is>
          <t>1D10+2</t>
        </is>
      </c>
      <c r="M48" s="24" t="inlineStr">
        <is>
          <t>√</t>
        </is>
      </c>
      <c r="N48" s="40" t="inlineStr">
        <is>
          <t>15.0</t>
        </is>
      </c>
      <c r="O48" s="40" t="inlineStr"/>
      <c r="P48" s="40" t="inlineStr"/>
      <c r="Q48" s="23" t="inlineStr">
        <is>
          <t>100.0</t>
        </is>
      </c>
    </row>
    <row r="49" ht="19" customHeight="1">
      <c r="A49" s="15" t="n">
        <v>45</v>
      </c>
      <c r="B49" s="15" t="inlineStr">
        <is>
          <t>文藝工作者</t>
        </is>
      </c>
      <c r="C49" s="10" t="inlineStr">
        <is>
          <t>攝影師</t>
        </is>
      </c>
      <c r="D49" s="24" t="inlineStr">
        <is>
          <t>EDU</t>
        </is>
      </c>
      <c r="E49" s="12" t="inlineStr">
        <is>
          <t>9~30</t>
        </is>
      </c>
      <c r="F49" s="16" t="inlineStr">
        <is>
          <t>魅惑/恐嚇/說服/話術、心理學、隱密行動、化學、偵察、攝影、個人專長×2</t>
        </is>
      </c>
      <c r="H49" s="15" t="n">
        <v>45</v>
      </c>
      <c r="I49" s="15" t="inlineStr"/>
      <c r="J49" s="10" t="inlineStr">
        <is>
          <t>沙漠之鷹</t>
        </is>
      </c>
      <c r="K49" s="15" t="inlineStr">
        <is>
          <t>手槍</t>
        </is>
      </c>
      <c r="L49" s="24" t="inlineStr">
        <is>
          <t>1D10+1D6+3</t>
        </is>
      </c>
      <c r="M49" s="24" t="inlineStr">
        <is>
          <t>√</t>
        </is>
      </c>
      <c r="N49" s="15" t="inlineStr">
        <is>
          <t>15.0</t>
        </is>
      </c>
      <c r="O49" s="15" t="inlineStr"/>
      <c r="P49" s="15" t="inlineStr"/>
      <c r="Q49" s="23" t="inlineStr">
        <is>
          <t>94.0</t>
        </is>
      </c>
    </row>
    <row r="50" ht="19" customHeight="1">
      <c r="A50" s="40" t="n">
        <v>46</v>
      </c>
      <c r="B50" s="40" t="inlineStr">
        <is>
          <t>文藝工作者</t>
        </is>
      </c>
      <c r="C50" s="25" t="inlineStr">
        <is>
          <t>博物館館長</t>
        </is>
      </c>
      <c r="D50" s="24" t="inlineStr">
        <is>
          <t>EDU</t>
        </is>
      </c>
      <c r="E50" s="20" t="inlineStr">
        <is>
          <t>10~30</t>
        </is>
      </c>
      <c r="F50" s="35" t="inlineStr">
        <is>
          <t>他國語言×1、考古學、神祕學、歷史、會計、估價、偵察、圖書館使用</t>
        </is>
      </c>
      <c r="H50" s="40" t="n">
        <v>46</v>
      </c>
      <c r="I50" s="40" t="inlineStr"/>
      <c r="J50" s="25" t="inlineStr">
        <is>
          <t>.58斯普林菲爾德步槍</t>
        </is>
      </c>
      <c r="K50" s="40" t="inlineStr">
        <is>
          <t>步槍</t>
        </is>
      </c>
      <c r="L50" s="24" t="inlineStr">
        <is>
          <t>1D10+4</t>
        </is>
      </c>
      <c r="M50" s="24" t="inlineStr">
        <is>
          <t>√</t>
        </is>
      </c>
      <c r="N50" s="40" t="inlineStr">
        <is>
          <t>60.0</t>
        </is>
      </c>
      <c r="O50" s="40" t="inlineStr"/>
      <c r="P50" s="40" t="inlineStr"/>
      <c r="Q50" s="23" t="inlineStr">
        <is>
          <t>95.0</t>
        </is>
      </c>
    </row>
    <row r="51" ht="19" customHeight="1">
      <c r="A51" s="15" t="n">
        <v>47</v>
      </c>
      <c r="B51" s="15" t="inlineStr">
        <is>
          <t>戶外活動者</t>
        </is>
      </c>
      <c r="C51" s="10" t="inlineStr">
        <is>
          <t>登山客</t>
        </is>
      </c>
      <c r="D51" s="24" t="inlineStr">
        <is>
          <t>EDU+(STRorDEX)</t>
        </is>
      </c>
      <c r="E51" s="12" t="inlineStr">
        <is>
          <t>30~60</t>
        </is>
      </c>
      <c r="F51" s="16" t="inlineStr">
        <is>
          <t>攀爬、跳躍、領航、急救、生存(山岳/叢林)、他國語言×1、聆聽、追蹤</t>
        </is>
      </c>
      <c r="H51" s="15" t="n">
        <v>47</v>
      </c>
      <c r="I51" s="15" t="inlineStr"/>
      <c r="J51" s="10" t="inlineStr">
        <is>
          <t>.22杠杆式槍機步槍</t>
        </is>
      </c>
      <c r="K51" s="15" t="inlineStr">
        <is>
          <t>步槍</t>
        </is>
      </c>
      <c r="L51" s="24" t="inlineStr">
        <is>
          <t>1D6+1</t>
        </is>
      </c>
      <c r="M51" s="24" t="inlineStr">
        <is>
          <t>√</t>
        </is>
      </c>
      <c r="N51" s="15" t="inlineStr">
        <is>
          <t>30.0</t>
        </is>
      </c>
      <c r="O51" s="15" t="inlineStr"/>
      <c r="P51" s="15" t="inlineStr"/>
      <c r="Q51" s="23" t="inlineStr">
        <is>
          <t>99.0</t>
        </is>
      </c>
    </row>
    <row r="52" ht="19" customHeight="1">
      <c r="A52" s="40" t="n">
        <v>48</v>
      </c>
      <c r="B52" s="40" t="inlineStr">
        <is>
          <t>戶外活動者</t>
        </is>
      </c>
      <c r="C52" s="25" t="inlineStr">
        <is>
          <t>探險家(非現代)</t>
        </is>
      </c>
      <c r="D52" s="24" t="inlineStr">
        <is>
          <t>EDU+(STRorDEXorAPP)</t>
        </is>
      </c>
      <c r="E52" s="20" t="inlineStr">
        <is>
          <t>55~80</t>
        </is>
      </c>
      <c r="F52" s="35" t="inlineStr">
        <is>
          <t>攀爬/游泳、跳躍、領航、生存(任意)、槍枝×1、他國語言×1、自然學、歷史</t>
        </is>
      </c>
      <c r="H52" s="40" t="n">
        <v>48</v>
      </c>
      <c r="I52" s="40" t="inlineStr"/>
      <c r="J52" s="25" t="inlineStr">
        <is>
          <t>.30卡賓槍</t>
        </is>
      </c>
      <c r="K52" s="40" t="inlineStr">
        <is>
          <t>步槍</t>
        </is>
      </c>
      <c r="L52" s="24" t="inlineStr">
        <is>
          <t>2D6</t>
        </is>
      </c>
      <c r="M52" s="24" t="inlineStr">
        <is>
          <t>√</t>
        </is>
      </c>
      <c r="N52" s="40" t="inlineStr">
        <is>
          <t>50.0</t>
        </is>
      </c>
      <c r="O52" s="40" t="inlineStr"/>
      <c r="P52" s="40" t="inlineStr"/>
      <c r="Q52" s="23" t="inlineStr">
        <is>
          <t>98.0</t>
        </is>
      </c>
    </row>
    <row r="53" ht="19" customHeight="1">
      <c r="A53" s="15" t="n">
        <v>49</v>
      </c>
      <c r="B53" s="15" t="inlineStr">
        <is>
          <t>戶外活動者</t>
        </is>
      </c>
      <c r="C53" s="10" t="inlineStr">
        <is>
          <t>野外生活者</t>
        </is>
      </c>
      <c r="D53" s="24" t="inlineStr">
        <is>
          <t>EDU+(STRorDEX)</t>
        </is>
      </c>
      <c r="E53" s="12" t="inlineStr">
        <is>
          <t>5~20</t>
        </is>
      </c>
      <c r="F53" s="16" t="inlineStr">
        <is>
          <t>領航、急救、生存(任意)、槍枝×1、自然學、偵察、聆聽、追蹤</t>
        </is>
      </c>
      <c r="H53" s="15" t="n">
        <v>49</v>
      </c>
      <c r="I53" s="15" t="inlineStr"/>
      <c r="J53" s="10" t="inlineStr">
        <is>
          <t>.45馬提尼·亨利步槍</t>
        </is>
      </c>
      <c r="K53" s="15" t="inlineStr">
        <is>
          <t>步槍</t>
        </is>
      </c>
      <c r="L53" s="24" t="inlineStr">
        <is>
          <t>1D8+1D6+3</t>
        </is>
      </c>
      <c r="M53" s="24" t="inlineStr">
        <is>
          <t>√</t>
        </is>
      </c>
      <c r="N53" s="15" t="inlineStr">
        <is>
          <t>80.0</t>
        </is>
      </c>
      <c r="O53" s="15" t="inlineStr"/>
      <c r="P53" s="15" t="inlineStr"/>
      <c r="Q53" s="23" t="inlineStr">
        <is>
          <t>100.0</t>
        </is>
      </c>
    </row>
    <row r="54" ht="19" customHeight="1">
      <c r="A54" s="40" t="n">
        <v>50</v>
      </c>
      <c r="B54" s="40" t="inlineStr">
        <is>
          <t>體育活動</t>
        </is>
      </c>
      <c r="C54" s="25" t="inlineStr">
        <is>
          <t>運動員</t>
        </is>
      </c>
      <c r="D54" s="24" t="inlineStr">
        <is>
          <t>EDU+(STRorDEX)</t>
        </is>
      </c>
      <c r="E54" s="20" t="inlineStr">
        <is>
          <t>9~70</t>
        </is>
      </c>
      <c r="F54" s="35" t="inlineStr">
        <is>
          <t>魅惑/恐嚇/說服/話術、攀爬、跳躍、游泳、騎術、投擲、戰鬥×1、個人專長×1</t>
        </is>
      </c>
      <c r="H54" s="40" t="n">
        <v>50</v>
      </c>
      <c r="I54" s="40" t="inlineStr"/>
      <c r="J54" s="25" t="inlineStr">
        <is>
          <t>莫蘭上校的氣動步槍</t>
        </is>
      </c>
      <c r="K54" s="40" t="inlineStr">
        <is>
          <t>步槍</t>
        </is>
      </c>
      <c r="L54" s="24" t="inlineStr">
        <is>
          <t>2D6+1</t>
        </is>
      </c>
      <c r="M54" s="24" t="inlineStr">
        <is>
          <t>√</t>
        </is>
      </c>
      <c r="N54" s="40" t="inlineStr">
        <is>
          <t>20.0</t>
        </is>
      </c>
      <c r="O54" s="40" t="inlineStr"/>
      <c r="P54" s="40" t="inlineStr"/>
      <c r="Q54" s="23" t="inlineStr">
        <is>
          <t>88.0</t>
        </is>
      </c>
    </row>
    <row r="55" ht="19" customHeight="1">
      <c r="A55" s="15" t="n">
        <v>51</v>
      </c>
      <c r="B55" s="15" t="inlineStr">
        <is>
          <t>體育活動</t>
        </is>
      </c>
      <c r="C55" s="10" t="inlineStr">
        <is>
          <t>拳擊手/摔角手</t>
        </is>
      </c>
      <c r="D55" s="24" t="inlineStr">
        <is>
          <t>EDU+STR</t>
        </is>
      </c>
      <c r="E55" s="12" t="inlineStr">
        <is>
          <t>9~60</t>
        </is>
      </c>
      <c r="F55" s="16" t="inlineStr">
        <is>
          <t>恐嚇、心理學、閃避、跳躍、戰鬥×1、偵察、個人專長×2</t>
        </is>
      </c>
      <c r="H55" s="15" t="n">
        <v>51</v>
      </c>
      <c r="I55" s="15" t="inlineStr"/>
      <c r="J55" s="10" t="inlineStr">
        <is>
          <t>加蘭德M1、M2步槍</t>
        </is>
      </c>
      <c r="K55" s="15" t="inlineStr">
        <is>
          <t>步槍</t>
        </is>
      </c>
      <c r="L55" s="24" t="inlineStr">
        <is>
          <t>2D6+4</t>
        </is>
      </c>
      <c r="M55" s="24" t="inlineStr">
        <is>
          <t>√</t>
        </is>
      </c>
      <c r="N55" s="15" t="inlineStr">
        <is>
          <t>110.0</t>
        </is>
      </c>
      <c r="O55" s="15" t="inlineStr"/>
      <c r="P55" s="15" t="inlineStr"/>
      <c r="Q55" s="23" t="inlineStr">
        <is>
          <t>100.0</t>
        </is>
      </c>
    </row>
    <row r="56" ht="19" customHeight="1">
      <c r="A56" s="40" t="n">
        <v>52</v>
      </c>
      <c r="B56" s="40" t="inlineStr">
        <is>
          <t>體育活動</t>
        </is>
      </c>
      <c r="C56" s="25" t="inlineStr">
        <is>
          <t>潛水夫</t>
        </is>
      </c>
      <c r="D56" s="24" t="inlineStr">
        <is>
          <t>EDU+DEX</t>
        </is>
      </c>
      <c r="E56" s="20" t="inlineStr">
        <is>
          <t>9~30</t>
        </is>
      </c>
      <c r="F56" s="35" t="inlineStr">
        <is>
          <t>游泳、潛水、駕駛(船隻)、急救、生物學、機械維修、偵察、個人專長×1</t>
        </is>
      </c>
      <c r="H56" s="40" t="n">
        <v>52</v>
      </c>
      <c r="I56" s="40" t="inlineStr"/>
      <c r="J56" s="25" t="inlineStr">
        <is>
          <t>SKS半自動步槍</t>
        </is>
      </c>
      <c r="K56" s="40" t="inlineStr">
        <is>
          <t>步槍</t>
        </is>
      </c>
      <c r="L56" s="24" t="inlineStr">
        <is>
          <t>2D6+1</t>
        </is>
      </c>
      <c r="M56" s="24" t="inlineStr">
        <is>
          <t>√</t>
        </is>
      </c>
      <c r="N56" s="40" t="inlineStr">
        <is>
          <t>90.0</t>
        </is>
      </c>
      <c r="O56" s="40" t="inlineStr"/>
      <c r="P56" s="40" t="inlineStr"/>
      <c r="Q56" s="23" t="inlineStr">
        <is>
          <t>97.0</t>
        </is>
      </c>
    </row>
    <row r="57" ht="19" customHeight="1">
      <c r="A57" s="15" t="n">
        <v>53</v>
      </c>
      <c r="B57" s="15" t="inlineStr">
        <is>
          <t>陸海空駕駛</t>
        </is>
      </c>
      <c r="C57" s="10" t="inlineStr">
        <is>
          <t>駕駛/車手</t>
        </is>
      </c>
      <c r="D57" s="24" t="inlineStr">
        <is>
          <t>EDU+(STRorDEX)</t>
        </is>
      </c>
      <c r="E57" s="12" t="inlineStr">
        <is>
          <t>9~20</t>
        </is>
      </c>
      <c r="F57" s="16" t="inlineStr">
        <is>
          <t>魅惑/恐嚇/說服/話術、心理學、領航、駕駛(車類)、會計、機械維修、聆聽、個人專長×1</t>
        </is>
      </c>
      <c r="H57" s="15" t="n">
        <v>53</v>
      </c>
      <c r="I57" s="15" t="inlineStr"/>
      <c r="J57" s="10" t="inlineStr">
        <is>
          <t>.303 (7.7mm)李恩菲爾德</t>
        </is>
      </c>
      <c r="K57" s="15" t="inlineStr">
        <is>
          <t>步槍</t>
        </is>
      </c>
      <c r="L57" s="24" t="inlineStr">
        <is>
          <t>2D6+4</t>
        </is>
      </c>
      <c r="M57" s="24" t="inlineStr">
        <is>
          <t>√</t>
        </is>
      </c>
      <c r="N57" s="15" t="inlineStr">
        <is>
          <t>110.0</t>
        </is>
      </c>
      <c r="O57" s="15" t="inlineStr"/>
      <c r="P57" s="15" t="inlineStr"/>
      <c r="Q57" s="23" t="inlineStr">
        <is>
          <t>100.0</t>
        </is>
      </c>
    </row>
    <row r="58" ht="19" customHeight="1">
      <c r="A58" s="40" t="n">
        <v>54</v>
      </c>
      <c r="B58" s="40" t="inlineStr">
        <is>
          <t>陸海空駕駛</t>
        </is>
      </c>
      <c r="C58" s="25" t="inlineStr">
        <is>
          <t>計程車司機</t>
        </is>
      </c>
      <c r="D58" s="24" t="inlineStr">
        <is>
          <t>EDU+DEX</t>
        </is>
      </c>
      <c r="E58" s="20" t="inlineStr">
        <is>
          <t>9~30</t>
        </is>
      </c>
      <c r="F58" s="35" t="inlineStr">
        <is>
          <t>話術、領航、駕駛(車類)、會計、電器維修、機械維修、偵察、個人專長×1</t>
        </is>
      </c>
      <c r="H58" s="40" t="n">
        <v>54</v>
      </c>
      <c r="I58" s="40" t="inlineStr"/>
      <c r="J58" s="25" t="inlineStr">
        <is>
          <t>.30-06 (7.62mm)栓式槍機步槍</t>
        </is>
      </c>
      <c r="K58" s="40" t="inlineStr">
        <is>
          <t>步槍</t>
        </is>
      </c>
      <c r="L58" s="24" t="inlineStr">
        <is>
          <t>2D6+4</t>
        </is>
      </c>
      <c r="M58" s="24" t="inlineStr">
        <is>
          <t>√</t>
        </is>
      </c>
      <c r="N58" s="40" t="inlineStr">
        <is>
          <t>110.0</t>
        </is>
      </c>
      <c r="O58" s="40" t="inlineStr"/>
      <c r="P58" s="40" t="inlineStr"/>
      <c r="Q58" s="23" t="inlineStr">
        <is>
          <t>100.0</t>
        </is>
      </c>
    </row>
    <row r="59" ht="19" customHeight="1">
      <c r="A59" s="15" t="n">
        <v>55</v>
      </c>
      <c r="B59" s="15" t="inlineStr">
        <is>
          <t>陸海空駕駛</t>
        </is>
      </c>
      <c r="C59" s="10" t="inlineStr">
        <is>
          <t>私家車司機</t>
        </is>
      </c>
      <c r="D59" s="24" t="inlineStr">
        <is>
          <t>EDU+DEX</t>
        </is>
      </c>
      <c r="E59" s="12" t="inlineStr">
        <is>
          <t>10~40</t>
        </is>
      </c>
      <c r="F59" s="16" t="inlineStr">
        <is>
          <t>四選二：魅惑/恐嚇/說服/話術、駕駛(車類)、領航、機械維修、偵察、聆聽、個人專長×1</t>
        </is>
      </c>
      <c r="H59" s="15" t="n">
        <v>55</v>
      </c>
      <c r="I59" s="15" t="inlineStr"/>
      <c r="J59" s="10" t="inlineStr">
        <is>
          <t>.30-06 (7.62mm)半自動步槍</t>
        </is>
      </c>
      <c r="K59" s="15" t="inlineStr">
        <is>
          <t>步槍</t>
        </is>
      </c>
      <c r="L59" s="24" t="inlineStr">
        <is>
          <t>2D6+4</t>
        </is>
      </c>
      <c r="M59" s="24" t="inlineStr">
        <is>
          <t>√</t>
        </is>
      </c>
      <c r="N59" s="15" t="inlineStr">
        <is>
          <t>110.0</t>
        </is>
      </c>
      <c r="O59" s="15" t="inlineStr"/>
      <c r="P59" s="15" t="inlineStr"/>
      <c r="Q59" s="23" t="inlineStr">
        <is>
          <t>100.0</t>
        </is>
      </c>
    </row>
    <row r="60" ht="19" customHeight="1">
      <c r="A60" s="40" t="n">
        <v>56</v>
      </c>
      <c r="B60" s="40" t="inlineStr">
        <is>
          <t>陸海空駕駛</t>
        </is>
      </c>
      <c r="C60" s="25" t="inlineStr">
        <is>
          <t>海軍水手</t>
        </is>
      </c>
      <c r="D60" s="24" t="inlineStr">
        <is>
          <t>EDU+(STRorDEX)</t>
        </is>
      </c>
      <c r="E60" s="20" t="inlineStr">
        <is>
          <t>9~30</t>
        </is>
      </c>
      <c r="F60" s="35" t="inlineStr">
        <is>
          <t>游泳、領航、駕駛(船)、生存(海洋)、急救、戰鬥×1、槍枝×1、電器維修/機械維修</t>
        </is>
      </c>
      <c r="H60" s="40" t="n">
        <v>56</v>
      </c>
      <c r="I60" s="40" t="inlineStr"/>
      <c r="J60" s="25" t="inlineStr">
        <is>
          <t>.444 (11.28mm)馬林步槍</t>
        </is>
      </c>
      <c r="K60" s="40" t="inlineStr">
        <is>
          <t>步槍</t>
        </is>
      </c>
      <c r="L60" s="24" t="inlineStr">
        <is>
          <t>2D8+4</t>
        </is>
      </c>
      <c r="M60" s="24" t="inlineStr">
        <is>
          <t>√</t>
        </is>
      </c>
      <c r="N60" s="40" t="inlineStr">
        <is>
          <t>110.0</t>
        </is>
      </c>
      <c r="O60" s="40" t="inlineStr"/>
      <c r="P60" s="40" t="inlineStr"/>
      <c r="Q60" s="23" t="inlineStr">
        <is>
          <t>98.0</t>
        </is>
      </c>
    </row>
    <row r="61" ht="19" customHeight="1">
      <c r="A61" s="15" t="n">
        <v>57</v>
      </c>
      <c r="B61" s="15" t="inlineStr">
        <is>
          <t>陸海空駕駛</t>
        </is>
      </c>
      <c r="C61" s="10" t="inlineStr">
        <is>
          <t>商船水手</t>
        </is>
      </c>
      <c r="D61" s="24" t="inlineStr">
        <is>
          <t>EDU+(STRorDEX)</t>
        </is>
      </c>
      <c r="E61" s="12" t="inlineStr">
        <is>
          <t>20~40</t>
        </is>
      </c>
      <c r="F61" s="16" t="inlineStr">
        <is>
          <t>魅惑/恐嚇/說服/話術、游泳、領航、駕駛(船)、急救、自然學、機械維修、偵察</t>
        </is>
      </c>
      <c r="H61" s="15" t="n">
        <v>57</v>
      </c>
      <c r="I61" s="15" t="inlineStr"/>
      <c r="J61" s="10" t="inlineStr">
        <is>
          <t>獵象槍(雙管)</t>
        </is>
      </c>
      <c r="K61" s="15" t="inlineStr">
        <is>
          <t>步槍</t>
        </is>
      </c>
      <c r="L61" s="24" t="inlineStr">
        <is>
          <t>3D6+4</t>
        </is>
      </c>
      <c r="M61" s="24" t="inlineStr">
        <is>
          <t>√</t>
        </is>
      </c>
      <c r="N61" s="15" t="inlineStr">
        <is>
          <t>100.0</t>
        </is>
      </c>
      <c r="O61" s="15" t="inlineStr"/>
      <c r="P61" s="15" t="inlineStr"/>
      <c r="Q61" s="23" t="inlineStr">
        <is>
          <t>100.0</t>
        </is>
      </c>
    </row>
    <row r="62" ht="19" customHeight="1">
      <c r="A62" s="40" t="n">
        <v>58</v>
      </c>
      <c r="B62" s="40" t="inlineStr">
        <is>
          <t>陸海空駕駛</t>
        </is>
      </c>
      <c r="C62" s="25" t="inlineStr">
        <is>
          <t>特技飛行員(非現代)</t>
        </is>
      </c>
      <c r="D62" s="24" t="inlineStr">
        <is>
          <t>EDU</t>
        </is>
      </c>
      <c r="E62" s="20" t="inlineStr">
        <is>
          <t>30~60</t>
        </is>
      </c>
      <c r="F62" s="35" t="inlineStr">
        <is>
          <t>領航、駕駛(飛機)、會計、機械維修、電器維修、聆聽、偵察、個人專長×1</t>
        </is>
      </c>
      <c r="H62" s="40" t="n">
        <v>58</v>
      </c>
      <c r="I62" s="40" t="inlineStr"/>
      <c r="J62" s="25" t="inlineStr">
        <is>
          <t>20號霰彈槍(雙管)</t>
        </is>
      </c>
      <c r="K62" s="40" t="inlineStr">
        <is>
          <t>霰彈槍</t>
        </is>
      </c>
      <c r="L62" s="24" t="inlineStr">
        <is>
          <t>2D6/1D6/1D3</t>
        </is>
      </c>
      <c r="M62" s="24" t="inlineStr">
        <is>
          <t>-</t>
        </is>
      </c>
      <c r="N62" s="40" t="inlineStr">
        <is>
          <t>10/20/50</t>
        </is>
      </c>
      <c r="O62" s="40" t="inlineStr"/>
      <c r="P62" s="40" t="inlineStr"/>
      <c r="Q62" s="23" t="inlineStr">
        <is>
          <t>100.0</t>
        </is>
      </c>
    </row>
    <row r="63" ht="19" customHeight="1">
      <c r="A63" s="15" t="n">
        <v>59</v>
      </c>
      <c r="B63" s="15" t="inlineStr">
        <is>
          <t>陸海空駕駛</t>
        </is>
      </c>
      <c r="C63" s="10" t="inlineStr">
        <is>
          <t>飛行員</t>
        </is>
      </c>
      <c r="D63" s="24" t="inlineStr">
        <is>
          <t>EDU+DEX</t>
        </is>
      </c>
      <c r="E63" s="12" t="inlineStr">
        <is>
          <t>20~70</t>
        </is>
      </c>
      <c r="F63" s="16" t="inlineStr">
        <is>
          <t>領航、駕駛(飛機)、天文學、機械維修、電器維修、重機械操作、個人專長×2</t>
        </is>
      </c>
      <c r="H63" s="15" t="n">
        <v>59</v>
      </c>
      <c r="I63" s="15" t="inlineStr"/>
      <c r="J63" s="10" t="inlineStr">
        <is>
          <t>16號霰彈槍(雙管)</t>
        </is>
      </c>
      <c r="K63" s="15" t="inlineStr">
        <is>
          <t>霰彈槍</t>
        </is>
      </c>
      <c r="L63" s="24" t="inlineStr">
        <is>
          <t>2D6+2/1D6+1/1D4</t>
        </is>
      </c>
      <c r="M63" s="24" t="inlineStr">
        <is>
          <t>-</t>
        </is>
      </c>
      <c r="N63" s="15" t="inlineStr">
        <is>
          <t>10/20/50</t>
        </is>
      </c>
      <c r="O63" s="15" t="inlineStr"/>
      <c r="P63" s="15" t="inlineStr"/>
      <c r="Q63" s="23" t="inlineStr">
        <is>
          <t>100.0</t>
        </is>
      </c>
    </row>
    <row r="64" ht="19" customHeight="1">
      <c r="A64" s="40" t="n">
        <v>60</v>
      </c>
      <c r="B64" s="40" t="inlineStr">
        <is>
          <t>上流社會</t>
        </is>
      </c>
      <c r="C64" s="25" t="inlineStr">
        <is>
          <t>紳士/女士</t>
        </is>
      </c>
      <c r="D64" s="24" t="inlineStr">
        <is>
          <t>EDU+APP</t>
        </is>
      </c>
      <c r="E64" s="20" t="inlineStr">
        <is>
          <t>40~90</t>
        </is>
      </c>
      <c r="F64" s="35" t="inlineStr">
        <is>
          <t>四選二：魅惑/恐嚇/說服/話術、領航、騎術、槍枝(步槍/散彈槍)、他國語言×1、歷史、美術工藝×1</t>
        </is>
      </c>
      <c r="H64" s="40" t="n">
        <v>60</v>
      </c>
      <c r="I64" s="40" t="inlineStr"/>
      <c r="J64" s="25" t="inlineStr">
        <is>
          <t>12號霰彈槍(雙管)</t>
        </is>
      </c>
      <c r="K64" s="40" t="inlineStr">
        <is>
          <t>霰彈槍</t>
        </is>
      </c>
      <c r="L64" s="24" t="inlineStr">
        <is>
          <t>4D6/2D6/1D6</t>
        </is>
      </c>
      <c r="M64" s="24" t="inlineStr">
        <is>
          <t>-</t>
        </is>
      </c>
      <c r="N64" s="40" t="inlineStr">
        <is>
          <t>10/20/50</t>
        </is>
      </c>
      <c r="O64" s="40" t="inlineStr"/>
      <c r="P64" s="40" t="inlineStr"/>
      <c r="Q64" s="23" t="inlineStr">
        <is>
          <t>100.0</t>
        </is>
      </c>
    </row>
    <row r="65" ht="19" customHeight="1">
      <c r="A65" s="15" t="n">
        <v>61</v>
      </c>
      <c r="B65" s="15" t="inlineStr">
        <is>
          <t>上流社會</t>
        </is>
      </c>
      <c r="C65" s="10" t="inlineStr">
        <is>
          <t>業餘愛好者</t>
        </is>
      </c>
      <c r="D65" s="24" t="inlineStr">
        <is>
          <t>EDU+APP</t>
        </is>
      </c>
      <c r="E65" s="12" t="inlineStr">
        <is>
          <t>50~99</t>
        </is>
      </c>
      <c r="F65" s="16" t="inlineStr">
        <is>
          <t>魅惑/恐嚇/說服/話術、騎術、槍枝×1、他國語言×1、美術工藝×1、個人專長×3</t>
        </is>
      </c>
      <c r="H65" s="15" t="n">
        <v>61</v>
      </c>
      <c r="I65" s="15" t="inlineStr"/>
      <c r="J65" s="10" t="inlineStr">
        <is>
          <t>12號泵動霰彈槍</t>
        </is>
      </c>
      <c r="K65" s="15" t="inlineStr">
        <is>
          <t>霰彈槍</t>
        </is>
      </c>
      <c r="L65" s="24" t="inlineStr">
        <is>
          <t>4D6/2D6/1D6</t>
        </is>
      </c>
      <c r="M65" s="24" t="inlineStr">
        <is>
          <t>-</t>
        </is>
      </c>
      <c r="N65" s="15" t="inlineStr">
        <is>
          <t>10/20/50</t>
        </is>
      </c>
      <c r="O65" s="15" t="inlineStr"/>
      <c r="P65" s="15" t="inlineStr"/>
      <c r="Q65" s="23" t="inlineStr">
        <is>
          <t>100.0</t>
        </is>
      </c>
    </row>
    <row r="66" ht="19" customHeight="1">
      <c r="A66" s="40" t="n">
        <v>62</v>
      </c>
      <c r="B66" s="40" t="inlineStr">
        <is>
          <t>上流社會</t>
        </is>
      </c>
      <c r="C66" s="25" t="inlineStr">
        <is>
          <t>古文物愛好者</t>
        </is>
      </c>
      <c r="D66" s="24" t="inlineStr">
        <is>
          <t>EDU</t>
        </is>
      </c>
      <c r="E66" s="20" t="inlineStr">
        <is>
          <t>30~70</t>
        </is>
      </c>
      <c r="F66" s="35" t="inlineStr">
        <is>
          <t>魅惑/恐嚇/說服/話術、他國語言×1、歷史、估價、圖書館使用、美術工藝×1、偵察、個人專長×1</t>
        </is>
      </c>
      <c r="H66" s="40" t="n">
        <v>62</v>
      </c>
      <c r="I66" s="40" t="inlineStr"/>
      <c r="J66" s="25" t="inlineStr">
        <is>
          <t>12號半自動霰彈槍</t>
        </is>
      </c>
      <c r="K66" s="40" t="inlineStr">
        <is>
          <t>霰彈槍</t>
        </is>
      </c>
      <c r="L66" s="24" t="inlineStr">
        <is>
          <t>4D6/2D6/1D6</t>
        </is>
      </c>
      <c r="M66" s="24" t="inlineStr">
        <is>
          <t>-</t>
        </is>
      </c>
      <c r="N66" s="40" t="inlineStr">
        <is>
          <t>10/20/50</t>
        </is>
      </c>
      <c r="O66" s="40" t="inlineStr"/>
      <c r="P66" s="40" t="inlineStr"/>
      <c r="Q66" s="23" t="inlineStr">
        <is>
          <t>100.0</t>
        </is>
      </c>
    </row>
    <row r="67" ht="19" customHeight="1">
      <c r="A67" s="15" t="n">
        <v>63</v>
      </c>
      <c r="B67" s="15" t="inlineStr">
        <is>
          <t>上流社會</t>
        </is>
      </c>
      <c r="C67" s="10" t="inlineStr">
        <is>
          <t>執事/男侍/女僕</t>
        </is>
      </c>
      <c r="D67" s="24" t="inlineStr">
        <is>
          <t>EDU</t>
        </is>
      </c>
      <c r="E67" s="12" t="inlineStr">
        <is>
          <t>9~40</t>
        </is>
      </c>
      <c r="F67" s="16" t="inlineStr">
        <is>
          <t>心理學、急救、會計/估價、偵察、聆聽、美術工藝×1、個人專長×2</t>
        </is>
      </c>
      <c r="H67" s="15" t="n">
        <v>63</v>
      </c>
      <c r="I67" s="15" t="inlineStr"/>
      <c r="J67" s="10" t="inlineStr">
        <is>
          <t>削短12號雙管霰彈槍</t>
        </is>
      </c>
      <c r="K67" s="15" t="inlineStr">
        <is>
          <t>霰彈槍</t>
        </is>
      </c>
      <c r="L67" s="24" t="inlineStr">
        <is>
          <t>4D6/1D6</t>
        </is>
      </c>
      <c r="M67" s="24" t="inlineStr">
        <is>
          <t>-</t>
        </is>
      </c>
      <c r="N67" s="15" t="inlineStr">
        <is>
          <t>5／10</t>
        </is>
      </c>
      <c r="O67" s="15" t="inlineStr"/>
      <c r="P67" s="15" t="inlineStr"/>
      <c r="Q67" s="23" t="inlineStr">
        <is>
          <t>100.0</t>
        </is>
      </c>
    </row>
    <row r="68" ht="19" customHeight="1">
      <c r="A68" s="40" t="n">
        <v>64</v>
      </c>
      <c r="B68" s="40" t="inlineStr">
        <is>
          <t>社會人士</t>
        </is>
      </c>
      <c r="C68" s="25" t="inlineStr">
        <is>
          <t>民選官員</t>
        </is>
      </c>
      <c r="D68" s="24" t="inlineStr">
        <is>
          <t>EDU+APP</t>
        </is>
      </c>
      <c r="E68" s="20" t="inlineStr">
        <is>
          <t>50~90</t>
        </is>
      </c>
      <c r="F68" s="35" t="inlineStr">
        <is>
          <t>魅惑、恐嚇、說服、話術、心理學、母語、歷史、聆聽</t>
        </is>
      </c>
      <c r="H68" s="40" t="n">
        <v>64</v>
      </c>
      <c r="I68" s="40" t="inlineStr"/>
      <c r="J68" s="25" t="inlineStr">
        <is>
          <t>10號霰彈槍(雙管)</t>
        </is>
      </c>
      <c r="K68" s="40" t="inlineStr">
        <is>
          <t>霰彈槍</t>
        </is>
      </c>
      <c r="L68" s="24" t="inlineStr">
        <is>
          <t>4D6+2/2D6+1/1D4</t>
        </is>
      </c>
      <c r="M68" s="24" t="inlineStr">
        <is>
          <t>-</t>
        </is>
      </c>
      <c r="N68" s="40" t="inlineStr">
        <is>
          <t>10/20/50</t>
        </is>
      </c>
      <c r="O68" s="40" t="inlineStr"/>
      <c r="P68" s="40" t="inlineStr"/>
      <c r="Q68" s="23" t="inlineStr">
        <is>
          <t>100.0</t>
        </is>
      </c>
    </row>
    <row r="69" ht="19" customHeight="1">
      <c r="A69" s="15" t="n">
        <v>65</v>
      </c>
      <c r="B69" s="15" t="inlineStr">
        <is>
          <t>社會人士</t>
        </is>
      </c>
      <c r="C69" s="10" t="inlineStr">
        <is>
          <t>社會運動者/工會抗爭者</t>
        </is>
      </c>
      <c r="D69" s="24" t="inlineStr">
        <is>
          <t>EDU</t>
        </is>
      </c>
      <c r="E69" s="12" t="inlineStr">
        <is>
          <t>5~30</t>
        </is>
      </c>
      <c r="F69" s="16" t="inlineStr">
        <is>
          <t>四選二：魅惑/恐嚇/說服/話術、心理學、戰鬥×1、會計、法律、重機械操作、聆聽</t>
        </is>
      </c>
      <c r="H69" s="15" t="n">
        <v>65</v>
      </c>
      <c r="I69" s="15" t="inlineStr"/>
      <c r="J69" s="10" t="inlineStr">
        <is>
          <t>12號貝裡尼M3 (折疊式槍托)</t>
        </is>
      </c>
      <c r="K69" s="15" t="inlineStr">
        <is>
          <t>霰彈槍</t>
        </is>
      </c>
      <c r="L69" s="24" t="inlineStr">
        <is>
          <t>4D6/2D6/1D6</t>
        </is>
      </c>
      <c r="M69" s="24" t="inlineStr">
        <is>
          <t>-</t>
        </is>
      </c>
      <c r="N69" s="15" t="inlineStr">
        <is>
          <t>10/20/50</t>
        </is>
      </c>
      <c r="O69" s="15" t="inlineStr"/>
      <c r="P69" s="15" t="inlineStr"/>
      <c r="Q69" s="23" t="inlineStr">
        <is>
          <t>100.0</t>
        </is>
      </c>
    </row>
    <row r="70" ht="19" customHeight="1">
      <c r="A70" s="40" t="n">
        <v>66</v>
      </c>
      <c r="B70" s="40" t="inlineStr">
        <is>
          <t>底層社會</t>
        </is>
      </c>
      <c r="C70" s="25" t="inlineStr">
        <is>
          <t>無業浪人</t>
        </is>
      </c>
      <c r="D70" s="24" t="inlineStr">
        <is>
          <t>EDU+(STRorDEXorAPP)</t>
        </is>
      </c>
      <c r="E70" s="20" t="inlineStr">
        <is>
          <t>0~5</t>
        </is>
      </c>
      <c r="F70" s="35" t="inlineStr">
        <is>
          <t>魅惑/恐嚇/說服/話術、攀爬、跳躍、領航、隱密行動、聆聽、個人專長×2</t>
        </is>
      </c>
      <c r="H70" s="40" t="n">
        <v>66</v>
      </c>
      <c r="I70" s="40" t="inlineStr"/>
      <c r="J70" s="25" t="inlineStr">
        <is>
          <t>12號SPAS (折疊式槍托)</t>
        </is>
      </c>
      <c r="K70" s="40" t="inlineStr">
        <is>
          <t>霰彈槍</t>
        </is>
      </c>
      <c r="L70" s="24" t="inlineStr">
        <is>
          <t>4D6/2D6/1D6</t>
        </is>
      </c>
      <c r="M70" s="24" t="inlineStr">
        <is>
          <t>-</t>
        </is>
      </c>
      <c r="N70" s="40" t="inlineStr">
        <is>
          <t>10/20/50</t>
        </is>
      </c>
      <c r="O70" s="40" t="inlineStr"/>
      <c r="P70" s="40" t="inlineStr"/>
      <c r="Q70" s="23" t="inlineStr">
        <is>
          <t>98.0</t>
        </is>
      </c>
    </row>
    <row r="71" ht="19" customHeight="1">
      <c r="A71" s="15" t="n">
        <v>67</v>
      </c>
      <c r="B71" s="15" t="inlineStr">
        <is>
          <t>底層社會</t>
        </is>
      </c>
      <c r="C71" s="10" t="inlineStr">
        <is>
          <t>流浪漢</t>
        </is>
      </c>
      <c r="D71" s="24" t="inlineStr">
        <is>
          <t>EDU+(DEXorAPP)</t>
        </is>
      </c>
      <c r="E71" s="12" t="inlineStr">
        <is>
          <t>0~5</t>
        </is>
      </c>
      <c r="F71" s="16" t="inlineStr">
        <is>
          <t>攀爬、跳躍、領航、鎖匠/巧手、隱密行動、聆聽、美術工藝×1、個人專長×1</t>
        </is>
      </c>
      <c r="H71" s="15" t="n">
        <v>67</v>
      </c>
      <c r="I71" s="15" t="inlineStr"/>
      <c r="J71" s="10" t="inlineStr">
        <is>
          <t>AK-47 or AKM</t>
        </is>
      </c>
      <c r="K71" s="15" t="inlineStr">
        <is>
          <t>步槍</t>
        </is>
      </c>
      <c r="L71" s="24" t="inlineStr">
        <is>
          <t>2D6+1</t>
        </is>
      </c>
      <c r="M71" s="24" t="inlineStr">
        <is>
          <t>√</t>
        </is>
      </c>
      <c r="N71" s="15" t="inlineStr">
        <is>
          <t>100.0</t>
        </is>
      </c>
      <c r="O71" s="15" t="inlineStr"/>
      <c r="P71" s="15" t="inlineStr"/>
      <c r="Q71" s="23" t="inlineStr">
        <is>
          <t>100.0</t>
        </is>
      </c>
    </row>
    <row r="72" ht="19" customHeight="1">
      <c r="A72" s="40" t="n">
        <v>68</v>
      </c>
      <c r="B72" s="40" t="inlineStr">
        <is>
          <t>農林漁獵</t>
        </is>
      </c>
      <c r="C72" s="25" t="inlineStr">
        <is>
          <t>農夫</t>
        </is>
      </c>
      <c r="D72" s="24" t="inlineStr">
        <is>
          <t>EDU+(STRorDEX)</t>
        </is>
      </c>
      <c r="E72" s="20" t="inlineStr">
        <is>
          <t>9~30</t>
        </is>
      </c>
      <c r="F72" s="35" t="inlineStr">
        <is>
          <t>魅惑/恐嚇/說服/話術、追蹤、自然學、駕駛(車類/農用機具)、機械維修、重機械操作、美術工藝×1(e.g.農產品/畜產品/養蜂)、個人專長×1</t>
        </is>
      </c>
      <c r="H72" s="40" t="n">
        <v>68</v>
      </c>
      <c r="I72" s="40" t="inlineStr"/>
      <c r="J72" s="25" t="inlineStr">
        <is>
          <t>AK-74</t>
        </is>
      </c>
      <c r="K72" s="40" t="inlineStr">
        <is>
          <t>步槍</t>
        </is>
      </c>
      <c r="L72" s="24" t="inlineStr">
        <is>
          <t>2D6</t>
        </is>
      </c>
      <c r="M72" s="24" t="inlineStr">
        <is>
          <t>√</t>
        </is>
      </c>
      <c r="N72" s="40" t="inlineStr">
        <is>
          <t>110.0</t>
        </is>
      </c>
      <c r="O72" s="40" t="inlineStr"/>
      <c r="P72" s="40" t="inlineStr"/>
      <c r="Q72" s="23" t="inlineStr">
        <is>
          <t>97.0</t>
        </is>
      </c>
    </row>
    <row r="73" ht="19" customHeight="1">
      <c r="A73" s="15" t="n">
        <v>69</v>
      </c>
      <c r="B73" s="15" t="inlineStr">
        <is>
          <t>農林漁獵</t>
        </is>
      </c>
      <c r="C73" s="10" t="inlineStr">
        <is>
          <t>樵夫/伐木工</t>
        </is>
      </c>
      <c r="D73" s="24" t="inlineStr">
        <is>
          <t>EDU+(STRorDEX)</t>
        </is>
      </c>
      <c r="E73" s="12" t="inlineStr">
        <is>
          <t>9~30</t>
        </is>
      </c>
      <c r="F73" s="16" t="inlineStr">
        <is>
          <t>閃避、攀爬、跳躍、急救、投擲、戰鬥(斧/電鋸)、生物學/植物學/自然學、機械維修</t>
        </is>
      </c>
      <c r="H73" s="15" t="n">
        <v>69</v>
      </c>
      <c r="I73" s="15" t="inlineStr"/>
      <c r="J73" s="10" t="inlineStr">
        <is>
          <t>巴雷特M82</t>
        </is>
      </c>
      <c r="K73" s="15" t="inlineStr">
        <is>
          <t>步槍</t>
        </is>
      </c>
      <c r="L73" s="24" t="inlineStr">
        <is>
          <t>2D10+1D8+6</t>
        </is>
      </c>
      <c r="M73" s="24" t="inlineStr">
        <is>
          <t>√</t>
        </is>
      </c>
      <c r="N73" s="15" t="inlineStr">
        <is>
          <t>250.0</t>
        </is>
      </c>
      <c r="O73" s="15" t="inlineStr"/>
      <c r="P73" s="15" t="inlineStr"/>
      <c r="Q73" s="23" t="inlineStr">
        <is>
          <t>96.0</t>
        </is>
      </c>
    </row>
    <row r="74" ht="19" customHeight="1">
      <c r="A74" s="40" t="n">
        <v>70</v>
      </c>
      <c r="B74" s="40" t="inlineStr">
        <is>
          <t>農林漁獵</t>
        </is>
      </c>
      <c r="C74" s="25" t="inlineStr">
        <is>
          <t>漁夫</t>
        </is>
      </c>
      <c r="D74" s="24" t="inlineStr">
        <is>
          <t>EDU+STR</t>
        </is>
      </c>
      <c r="E74" s="20" t="inlineStr">
        <is>
          <t>15~40</t>
        </is>
      </c>
      <c r="F74" s="35" t="inlineStr">
        <is>
          <t>游泳、領航、駕駛(船)、自然學、機械維修、重機械操作、偵察、美術工藝(漁法)</t>
        </is>
      </c>
      <c r="H74" s="40" t="n">
        <v>70</v>
      </c>
      <c r="I74" s="40" t="inlineStr"/>
      <c r="J74" s="25" t="inlineStr">
        <is>
          <t>FN FAL Light Automatic</t>
        </is>
      </c>
      <c r="K74" s="40" t="inlineStr">
        <is>
          <t>步槍</t>
        </is>
      </c>
      <c r="L74" s="24" t="inlineStr">
        <is>
          <t>2D6+4</t>
        </is>
      </c>
      <c r="M74" s="24" t="inlineStr">
        <is>
          <t>√</t>
        </is>
      </c>
      <c r="N74" s="40" t="inlineStr">
        <is>
          <t>110.0</t>
        </is>
      </c>
      <c r="O74" s="40" t="inlineStr"/>
      <c r="P74" s="40" t="inlineStr"/>
      <c r="Q74" s="23" t="inlineStr">
        <is>
          <t>97.0</t>
        </is>
      </c>
    </row>
    <row r="75" ht="19" customHeight="1">
      <c r="A75" s="15" t="n">
        <v>71</v>
      </c>
      <c r="B75" s="15" t="inlineStr">
        <is>
          <t>農林漁獵</t>
        </is>
      </c>
      <c r="C75" s="10" t="inlineStr">
        <is>
          <t>野生動物獵人</t>
        </is>
      </c>
      <c r="D75" s="24" t="inlineStr">
        <is>
          <t>EDU+(STRorDEX)</t>
        </is>
      </c>
      <c r="E75" s="12" t="inlineStr">
        <is>
          <t>20~50</t>
        </is>
      </c>
      <c r="F75" s="16" t="inlineStr">
        <is>
          <t>領航、生存(任意)/他國語言×1、隱密行動、槍枝×1、生物學/植物學、自然學、偵察/聆聽、追蹤</t>
        </is>
      </c>
      <c r="H75" s="15" t="n">
        <v>71</v>
      </c>
      <c r="I75" s="15" t="inlineStr"/>
      <c r="J75" s="10" t="inlineStr">
        <is>
          <t>Galil Assault Rifle</t>
        </is>
      </c>
      <c r="K75" s="15" t="inlineStr">
        <is>
          <t>步槍</t>
        </is>
      </c>
      <c r="L75" s="24" t="inlineStr">
        <is>
          <t>2D6</t>
        </is>
      </c>
      <c r="M75" s="24" t="inlineStr">
        <is>
          <t>√</t>
        </is>
      </c>
      <c r="N75" s="15" t="inlineStr">
        <is>
          <t>110.0</t>
        </is>
      </c>
      <c r="O75" s="15" t="inlineStr"/>
      <c r="P75" s="15" t="inlineStr"/>
      <c r="Q75" s="23" t="inlineStr">
        <is>
          <t>98.0</t>
        </is>
      </c>
    </row>
    <row r="76" ht="19" customHeight="1">
      <c r="A76" s="40" t="n">
        <v>72</v>
      </c>
      <c r="B76" s="40" t="inlineStr">
        <is>
          <t>工業</t>
        </is>
      </c>
      <c r="C76" s="25" t="inlineStr">
        <is>
          <t>礦工</t>
        </is>
      </c>
      <c r="D76" s="24" t="inlineStr">
        <is>
          <t>EDU+(STRorDEX)</t>
        </is>
      </c>
      <c r="E76" s="20" t="inlineStr">
        <is>
          <t>9~30</t>
        </is>
      </c>
      <c r="F76" s="35" t="inlineStr">
        <is>
          <t>攀爬、跳躍、隱密行動、地質學、機械維修、重機械操作、偵察、個人專長×1</t>
        </is>
      </c>
      <c r="H76" s="40" t="n">
        <v>72</v>
      </c>
      <c r="I76" s="40" t="inlineStr"/>
      <c r="J76" s="25" t="inlineStr">
        <is>
          <t>M16A2</t>
        </is>
      </c>
      <c r="K76" s="40" t="inlineStr">
        <is>
          <t>步槍</t>
        </is>
      </c>
      <c r="L76" s="24" t="inlineStr">
        <is>
          <t>2D6</t>
        </is>
      </c>
      <c r="M76" s="24" t="inlineStr">
        <is>
          <t>√</t>
        </is>
      </c>
      <c r="N76" s="40" t="inlineStr">
        <is>
          <t>110.0</t>
        </is>
      </c>
      <c r="O76" s="40" t="inlineStr"/>
      <c r="P76" s="40" t="inlineStr"/>
      <c r="Q76" s="23" t="inlineStr">
        <is>
          <t>97.0</t>
        </is>
      </c>
    </row>
    <row r="77" ht="19" customHeight="1">
      <c r="A77" s="15" t="n">
        <v>73</v>
      </c>
      <c r="B77" s="15" t="inlineStr">
        <is>
          <t>工業</t>
        </is>
      </c>
      <c r="C77" s="10" t="inlineStr">
        <is>
          <t>探勘者(金礦/石油)</t>
        </is>
      </c>
      <c r="D77" s="24" t="inlineStr">
        <is>
          <t>EDU+(STRorDEX)</t>
        </is>
      </c>
      <c r="E77" s="12" t="inlineStr">
        <is>
          <t>0~10</t>
        </is>
      </c>
      <c r="F77" s="16" t="inlineStr">
        <is>
          <t>攀爬、領航、急救、地質學、歷史、機械維修、偵察、個人專長×1</t>
        </is>
      </c>
      <c r="H77" s="15" t="n">
        <v>73</v>
      </c>
      <c r="I77" s="15" t="inlineStr"/>
      <c r="J77" s="10" t="inlineStr">
        <is>
          <t>M4</t>
        </is>
      </c>
      <c r="K77" s="15" t="inlineStr">
        <is>
          <t>步槍</t>
        </is>
      </c>
      <c r="L77" s="24" t="inlineStr">
        <is>
          <t>2D6</t>
        </is>
      </c>
      <c r="M77" s="24" t="inlineStr">
        <is>
          <t>√</t>
        </is>
      </c>
      <c r="N77" s="15" t="inlineStr">
        <is>
          <t>90.0</t>
        </is>
      </c>
      <c r="O77" s="15" t="inlineStr"/>
      <c r="P77" s="15" t="inlineStr"/>
      <c r="Q77" s="23" t="inlineStr">
        <is>
          <t>97.0</t>
        </is>
      </c>
    </row>
    <row r="78" ht="19" customHeight="1">
      <c r="A78" s="40" t="n">
        <v>74</v>
      </c>
      <c r="B78" s="40" t="inlineStr">
        <is>
          <t>工業</t>
        </is>
      </c>
      <c r="C78" s="25" t="inlineStr">
        <is>
          <t>工程師</t>
        </is>
      </c>
      <c r="D78" s="24" t="inlineStr">
        <is>
          <t>EDU</t>
        </is>
      </c>
      <c r="E78" s="20" t="inlineStr">
        <is>
          <t>30~60</t>
        </is>
      </c>
      <c r="F78" s="35" t="inlineStr">
        <is>
          <t>物理學、工程學、電器維修、機械維修、重機械操作、圖書館使用、美術工藝(製圖)、個人專長×1</t>
        </is>
      </c>
      <c r="H78" s="40" t="n">
        <v>74</v>
      </c>
      <c r="I78" s="40" t="inlineStr"/>
      <c r="J78" s="25" t="inlineStr">
        <is>
          <t>Steyr AUG</t>
        </is>
      </c>
      <c r="K78" s="40" t="inlineStr">
        <is>
          <t>步槍</t>
        </is>
      </c>
      <c r="L78" s="24" t="inlineStr">
        <is>
          <t>2D6</t>
        </is>
      </c>
      <c r="M78" s="24" t="inlineStr">
        <is>
          <t>√</t>
        </is>
      </c>
      <c r="N78" s="40" t="inlineStr">
        <is>
          <t>110.0</t>
        </is>
      </c>
      <c r="O78" s="40" t="inlineStr"/>
      <c r="P78" s="40" t="inlineStr"/>
      <c r="Q78" s="23" t="inlineStr">
        <is>
          <t>99.0</t>
        </is>
      </c>
    </row>
    <row r="79" ht="19" customHeight="1">
      <c r="A79" s="15" t="n">
        <v>75</v>
      </c>
      <c r="B79" s="15" t="inlineStr">
        <is>
          <t>工業</t>
        </is>
      </c>
      <c r="C79" s="10" t="inlineStr">
        <is>
          <t>技工</t>
        </is>
      </c>
      <c r="D79" s="24" t="inlineStr">
        <is>
          <t>EDU</t>
        </is>
      </c>
      <c r="E79" s="12" t="inlineStr">
        <is>
          <t>9~40</t>
        </is>
      </c>
      <c r="F79" s="16" t="inlineStr">
        <is>
          <t>攀爬、駕駛(車類)、電器維修、機械維修、重機械操作、美術工藝×1(e.g.木匠/焊接/管線工)、個人專長×2</t>
        </is>
      </c>
      <c r="H79" s="15" t="n">
        <v>75</v>
      </c>
      <c r="I79" s="15" t="inlineStr"/>
      <c r="J79" s="10" t="inlineStr">
        <is>
          <t>貝雷塔M70/90</t>
        </is>
      </c>
      <c r="K79" s="15" t="inlineStr">
        <is>
          <t>步槍</t>
        </is>
      </c>
      <c r="L79" s="24" t="inlineStr">
        <is>
          <t>2D6</t>
        </is>
      </c>
      <c r="M79" s="24" t="inlineStr">
        <is>
          <t>√</t>
        </is>
      </c>
      <c r="N79" s="15" t="inlineStr">
        <is>
          <t>110.0</t>
        </is>
      </c>
      <c r="O79" s="15" t="inlineStr"/>
      <c r="P79" s="15" t="inlineStr"/>
      <c r="Q79" s="23" t="inlineStr">
        <is>
          <t>99.0</t>
        </is>
      </c>
    </row>
    <row r="80" ht="19" customHeight="1">
      <c r="A80" s="40" t="n">
        <v>76</v>
      </c>
      <c r="B80" s="40" t="inlineStr">
        <is>
          <t>工業</t>
        </is>
      </c>
      <c r="C80" s="25" t="inlineStr">
        <is>
          <t>建築師</t>
        </is>
      </c>
      <c r="D80" s="24" t="inlineStr">
        <is>
          <t>EDU</t>
        </is>
      </c>
      <c r="E80" s="20" t="inlineStr">
        <is>
          <t>30~70</t>
        </is>
      </c>
      <c r="F80" s="35" t="inlineStr">
        <is>
          <t>說服、心理學、母語、數學、會計、法律、電腦使用/圖書館、美術工藝(製圖)</t>
        </is>
      </c>
      <c r="H80" s="40" t="n">
        <v>76</v>
      </c>
      <c r="I80" s="40" t="inlineStr"/>
      <c r="J80" s="25" t="inlineStr">
        <is>
          <t>貝格曼MP181/ MP2811</t>
        </is>
      </c>
      <c r="K80" s="40" t="inlineStr">
        <is>
          <t>衝鋒槍</t>
        </is>
      </c>
      <c r="L80" s="24" t="inlineStr">
        <is>
          <t>1D10</t>
        </is>
      </c>
      <c r="M80" s="24" t="inlineStr">
        <is>
          <t>√</t>
        </is>
      </c>
      <c r="N80" s="40" t="inlineStr">
        <is>
          <t>20.0</t>
        </is>
      </c>
      <c r="O80" s="40" t="inlineStr"/>
      <c r="P80" s="40" t="inlineStr"/>
      <c r="Q80" s="23" t="inlineStr">
        <is>
          <t>96.0</t>
        </is>
      </c>
    </row>
    <row r="81" ht="19" customHeight="1">
      <c r="A81" s="15" t="n">
        <v>77</v>
      </c>
      <c r="B81" s="15" t="inlineStr">
        <is>
          <t>工業</t>
        </is>
      </c>
      <c r="C81" s="10" t="inlineStr">
        <is>
          <t>雜工</t>
        </is>
      </c>
      <c r="D81" s="24" t="inlineStr">
        <is>
          <t>EDU+(STRorDEX)</t>
        </is>
      </c>
      <c r="E81" s="12" t="inlineStr">
        <is>
          <t>9~30</t>
        </is>
      </c>
      <c r="F81" s="16" t="inlineStr">
        <is>
          <t>投擲、駕駛(車類)、急救、戰鬥×1、電器維修、機械維修、重機械操作、個人專長×1</t>
        </is>
      </c>
      <c r="H81" s="15" t="n">
        <v>77</v>
      </c>
      <c r="I81" s="15" t="inlineStr"/>
      <c r="J81" s="10" t="inlineStr">
        <is>
          <t>黑克勒-科赫MP5</t>
        </is>
      </c>
      <c r="K81" s="15" t="inlineStr">
        <is>
          <t>衝鋒槍</t>
        </is>
      </c>
      <c r="L81" s="24" t="inlineStr">
        <is>
          <t>1D10</t>
        </is>
      </c>
      <c r="M81" s="24" t="inlineStr">
        <is>
          <t>√</t>
        </is>
      </c>
      <c r="N81" s="15" t="inlineStr">
        <is>
          <t>20.0</t>
        </is>
      </c>
      <c r="O81" s="15" t="inlineStr"/>
      <c r="P81" s="15" t="inlineStr"/>
      <c r="Q81" s="23" t="inlineStr">
        <is>
          <t>97.0</t>
        </is>
      </c>
    </row>
    <row r="82" ht="19" customHeight="1">
      <c r="A82" s="40" t="n">
        <v>78</v>
      </c>
      <c r="B82" s="40" t="inlineStr">
        <is>
          <t>工業</t>
        </is>
      </c>
      <c r="C82" s="25" t="inlineStr">
        <is>
          <t>工匠</t>
        </is>
      </c>
      <c r="D82" s="24" t="inlineStr">
        <is>
          <t>EDU+DEX</t>
        </is>
      </c>
      <c r="E82" s="20" t="inlineStr">
        <is>
          <t>10~40</t>
        </is>
      </c>
      <c r="F82" s="35" t="inlineStr">
        <is>
          <t>自然學、會計、機械維修、偵察、美術工藝×2、個人專長×2</t>
        </is>
      </c>
      <c r="H82" s="40" t="n">
        <v>78</v>
      </c>
      <c r="I82" s="40" t="inlineStr"/>
      <c r="J82" s="25" t="inlineStr">
        <is>
          <t>MAC-11</t>
        </is>
      </c>
      <c r="K82" s="40" t="inlineStr">
        <is>
          <t>衝鋒槍</t>
        </is>
      </c>
      <c r="L82" s="24" t="inlineStr">
        <is>
          <t>1D10</t>
        </is>
      </c>
      <c r="M82" s="24" t="inlineStr">
        <is>
          <t>√</t>
        </is>
      </c>
      <c r="N82" s="40" t="inlineStr">
        <is>
          <t>15.0</t>
        </is>
      </c>
      <c r="O82" s="40" t="inlineStr"/>
      <c r="P82" s="40" t="inlineStr"/>
      <c r="Q82" s="23" t="inlineStr">
        <is>
          <t>96.0</t>
        </is>
      </c>
    </row>
    <row r="83" ht="19" customHeight="1">
      <c r="A83" s="15" t="n">
        <v>79</v>
      </c>
      <c r="B83" s="15" t="inlineStr">
        <is>
          <t>上班族、服務業</t>
        </is>
      </c>
      <c r="C83" s="10" t="inlineStr">
        <is>
          <t>白領階級，管理</t>
        </is>
      </c>
      <c r="D83" s="24" t="inlineStr">
        <is>
          <t>EDU</t>
        </is>
      </c>
      <c r="E83" s="12" t="inlineStr">
        <is>
          <t>20~80</t>
        </is>
      </c>
      <c r="F83" s="16" t="inlineStr">
        <is>
          <t>四選二：魅惑/恐嚇/說服/話術、心理學、他國語言×1、會計、法律、個人專長×2</t>
        </is>
      </c>
      <c r="H83" s="15" t="n">
        <v>79</v>
      </c>
      <c r="I83" s="15" t="inlineStr"/>
      <c r="J83" s="10" t="inlineStr">
        <is>
          <t>蠍式衝鋒槍</t>
        </is>
      </c>
      <c r="K83" s="15" t="inlineStr">
        <is>
          <t>衝鋒槍</t>
        </is>
      </c>
      <c r="L83" s="24" t="inlineStr">
        <is>
          <t>1D8</t>
        </is>
      </c>
      <c r="M83" s="24" t="inlineStr">
        <is>
          <t>√</t>
        </is>
      </c>
      <c r="N83" s="15" t="inlineStr">
        <is>
          <t>15.0</t>
        </is>
      </c>
      <c r="O83" s="15" t="inlineStr"/>
      <c r="P83" s="15" t="inlineStr"/>
      <c r="Q83" s="23" t="inlineStr">
        <is>
          <t>96.0</t>
        </is>
      </c>
    </row>
    <row r="84" ht="19" customHeight="1">
      <c r="A84" s="40" t="n">
        <v>80</v>
      </c>
      <c r="B84" s="40" t="inlineStr">
        <is>
          <t>上班族、服務業</t>
        </is>
      </c>
      <c r="C84" s="25" t="inlineStr">
        <is>
          <t>白領階級，職員</t>
        </is>
      </c>
      <c r="D84" s="24" t="inlineStr">
        <is>
          <t>EDU</t>
        </is>
      </c>
      <c r="E84" s="20" t="inlineStr">
        <is>
          <t>9~20</t>
        </is>
      </c>
      <c r="F84" s="35" t="inlineStr">
        <is>
          <t>魅惑/恐嚇/說服/話術、他國語言×1、會計、法律、電腦使用/圖書館使用、聆聽、個人專長×2</t>
        </is>
      </c>
      <c r="H84" s="40" t="n">
        <v>80</v>
      </c>
      <c r="I84" s="40" t="inlineStr"/>
      <c r="J84" s="25" t="inlineStr">
        <is>
          <t>湯普森衝鋒槍</t>
        </is>
      </c>
      <c r="K84" s="40" t="inlineStr">
        <is>
          <t>衝鋒槍</t>
        </is>
      </c>
      <c r="L84" s="24" t="inlineStr">
        <is>
          <t>1D10+2</t>
        </is>
      </c>
      <c r="M84" s="24" t="inlineStr">
        <is>
          <t>√</t>
        </is>
      </c>
      <c r="N84" s="40" t="inlineStr">
        <is>
          <t>20.0</t>
        </is>
      </c>
      <c r="O84" s="40" t="inlineStr"/>
      <c r="P84" s="40" t="inlineStr"/>
      <c r="Q84" s="23" t="inlineStr">
        <is>
          <t>96.0</t>
        </is>
      </c>
    </row>
    <row r="85" ht="19" customHeight="1">
      <c r="A85" s="15" t="n">
        <v>81</v>
      </c>
      <c r="B85" s="15" t="inlineStr">
        <is>
          <t>上班族、服務業</t>
        </is>
      </c>
      <c r="C85" s="10" t="inlineStr">
        <is>
          <t>電腦工程師</t>
        </is>
      </c>
      <c r="D85" s="24" t="inlineStr">
        <is>
          <t>EDU</t>
        </is>
      </c>
      <c r="E85" s="12" t="inlineStr">
        <is>
          <t>10~70</t>
        </is>
      </c>
      <c r="F85" s="16" t="inlineStr">
        <is>
          <t>數學、電子學、電腦使用、電器維修、偵察、圖書館使用、個人專長×2</t>
        </is>
      </c>
      <c r="H85" s="15" t="n">
        <v>81</v>
      </c>
      <c r="I85" s="15" t="inlineStr"/>
      <c r="J85" s="10" t="inlineStr">
        <is>
          <t>烏茲微型衝鋒槍</t>
        </is>
      </c>
      <c r="K85" s="15" t="inlineStr">
        <is>
          <t>衝鋒槍</t>
        </is>
      </c>
      <c r="L85" s="24" t="inlineStr">
        <is>
          <t>1D10</t>
        </is>
      </c>
      <c r="M85" s="24" t="inlineStr">
        <is>
          <t>√</t>
        </is>
      </c>
      <c r="N85" s="15" t="inlineStr">
        <is>
          <t>20.0</t>
        </is>
      </c>
      <c r="O85" s="15" t="inlineStr"/>
      <c r="P85" s="15" t="inlineStr"/>
      <c r="Q85" s="23" t="inlineStr">
        <is>
          <t>98.0</t>
        </is>
      </c>
    </row>
    <row r="86" ht="19" customHeight="1">
      <c r="A86" s="40" t="n">
        <v>82</v>
      </c>
      <c r="B86" s="40" t="inlineStr">
        <is>
          <t>上班族、服務業</t>
        </is>
      </c>
      <c r="C86" s="25" t="inlineStr">
        <is>
          <t>會計師</t>
        </is>
      </c>
      <c r="D86" s="24" t="inlineStr">
        <is>
          <t>EDU</t>
        </is>
      </c>
      <c r="E86" s="20" t="inlineStr">
        <is>
          <t>30~70</t>
        </is>
      </c>
      <c r="F86" s="35" t="inlineStr">
        <is>
          <t>說服、會計、法律、圖書館使用、偵察、聆聽、個人專長×2</t>
        </is>
      </c>
      <c r="H86" s="40" t="n">
        <v>82</v>
      </c>
      <c r="I86" s="40" t="inlineStr"/>
      <c r="J86" s="25" t="inlineStr">
        <is>
          <t>M1882加特林機槍</t>
        </is>
      </c>
      <c r="K86" s="40" t="inlineStr">
        <is>
          <t>機槍</t>
        </is>
      </c>
      <c r="L86" s="24" t="inlineStr">
        <is>
          <t>2D6+4</t>
        </is>
      </c>
      <c r="M86" s="24" t="inlineStr">
        <is>
          <t>√</t>
        </is>
      </c>
      <c r="N86" s="40" t="inlineStr">
        <is>
          <t>100.0</t>
        </is>
      </c>
      <c r="O86" s="40" t="inlineStr"/>
      <c r="P86" s="40" t="inlineStr"/>
      <c r="Q86" s="23" t="inlineStr">
        <is>
          <t>96.0</t>
        </is>
      </c>
    </row>
    <row r="87" ht="19" customHeight="1">
      <c r="A87" s="15" t="n">
        <v>83</v>
      </c>
      <c r="B87" s="15" t="inlineStr">
        <is>
          <t>上班族、服務業</t>
        </is>
      </c>
      <c r="C87" s="10" t="inlineStr">
        <is>
          <t>秘書</t>
        </is>
      </c>
      <c r="D87" s="24" t="inlineStr">
        <is>
          <t>EDU+(DEXorAPP)</t>
        </is>
      </c>
      <c r="E87" s="12" t="inlineStr">
        <is>
          <t>9~30</t>
        </is>
      </c>
      <c r="F87" s="16" t="inlineStr">
        <is>
          <t>四選二：魅惑/恐嚇/說服/話術、心理學、母語、會計、電腦使用/圖書館使用、美術工藝(打字/速記)、個人專長×1</t>
        </is>
      </c>
      <c r="H87" s="15" t="n">
        <v>83</v>
      </c>
      <c r="I87" s="15" t="inlineStr"/>
      <c r="J87" s="10" t="inlineStr">
        <is>
          <t>M1918式勃朗寧自動步槍</t>
        </is>
      </c>
      <c r="K87" s="15" t="inlineStr">
        <is>
          <t>機槍</t>
        </is>
      </c>
      <c r="L87" s="24" t="inlineStr">
        <is>
          <t>2D6+4</t>
        </is>
      </c>
      <c r="M87" s="24" t="inlineStr">
        <is>
          <t>√</t>
        </is>
      </c>
      <c r="N87" s="15" t="inlineStr">
        <is>
          <t>90.0</t>
        </is>
      </c>
      <c r="O87" s="15" t="inlineStr"/>
      <c r="P87" s="15" t="inlineStr"/>
      <c r="Q87" s="23" t="inlineStr">
        <is>
          <t>100.0</t>
        </is>
      </c>
    </row>
    <row r="88" ht="19" customHeight="1">
      <c r="A88" s="40" t="n">
        <v>84</v>
      </c>
      <c r="B88" s="40" t="inlineStr">
        <is>
          <t>上班族、服務業</t>
        </is>
      </c>
      <c r="C88" s="25" t="inlineStr">
        <is>
          <t>編輯</t>
        </is>
      </c>
      <c r="D88" s="24" t="inlineStr">
        <is>
          <t>EDU</t>
        </is>
      </c>
      <c r="E88" s="20" t="inlineStr">
        <is>
          <t>10~30</t>
        </is>
      </c>
      <c r="F88" s="35" t="inlineStr">
        <is>
          <t>四選二：魅惑/恐嚇/說服/話術、心理學、母語、歷史、會計、偵察、個人專長×1</t>
        </is>
      </c>
      <c r="H88" s="40" t="n">
        <v>84</v>
      </c>
      <c r="I88" s="40" t="inlineStr"/>
      <c r="J88" s="25" t="inlineStr">
        <is>
          <t>M1917A1式勃朗寧重機槍</t>
        </is>
      </c>
      <c r="K88" s="40" t="inlineStr">
        <is>
          <t>機槍</t>
        </is>
      </c>
      <c r="L88" s="24" t="inlineStr">
        <is>
          <t>2D6+4</t>
        </is>
      </c>
      <c r="M88" s="24" t="inlineStr">
        <is>
          <t>√</t>
        </is>
      </c>
      <c r="N88" s="40" t="inlineStr">
        <is>
          <t>150.0</t>
        </is>
      </c>
      <c r="O88" s="40" t="inlineStr"/>
      <c r="P88" s="40" t="inlineStr"/>
      <c r="Q88" s="23" t="inlineStr">
        <is>
          <t>96.0</t>
        </is>
      </c>
    </row>
    <row r="89" ht="19" customHeight="1">
      <c r="A89" s="15" t="n">
        <v>85</v>
      </c>
      <c r="B89" s="15" t="inlineStr">
        <is>
          <t>上班族、服務業</t>
        </is>
      </c>
      <c r="C89" s="10" t="inlineStr">
        <is>
          <t>圖書館員</t>
        </is>
      </c>
      <c r="D89" s="24" t="inlineStr">
        <is>
          <t>EDU</t>
        </is>
      </c>
      <c r="E89" s="12" t="inlineStr">
        <is>
          <t>9~35</t>
        </is>
      </c>
      <c r="F89" s="16" t="inlineStr">
        <is>
          <t>母語、他國語言×1、會計、圖書館使用、個人專長×4</t>
        </is>
      </c>
      <c r="H89" s="15" t="n">
        <v>85</v>
      </c>
      <c r="I89" s="15" t="inlineStr"/>
      <c r="J89" s="10" t="inlineStr">
        <is>
          <t>布倫式輕機槍</t>
        </is>
      </c>
      <c r="K89" s="15" t="inlineStr">
        <is>
          <t>機槍</t>
        </is>
      </c>
      <c r="L89" s="24" t="inlineStr">
        <is>
          <t>2D6+4</t>
        </is>
      </c>
      <c r="M89" s="24" t="inlineStr">
        <is>
          <t>√</t>
        </is>
      </c>
      <c r="N89" s="15" t="inlineStr">
        <is>
          <t>110.0</t>
        </is>
      </c>
      <c r="O89" s="15" t="inlineStr"/>
      <c r="P89" s="15" t="inlineStr"/>
      <c r="Q89" s="23" t="inlineStr">
        <is>
          <t>96.0</t>
        </is>
      </c>
    </row>
    <row r="90" ht="19" customHeight="1">
      <c r="A90" s="40" t="n">
        <v>86</v>
      </c>
      <c r="B90" s="40" t="inlineStr">
        <is>
          <t>上班族、服務業</t>
        </is>
      </c>
      <c r="C90" s="25" t="inlineStr">
        <is>
          <t>動物園員工</t>
        </is>
      </c>
      <c r="D90" s="24" t="inlineStr">
        <is>
          <t>EDU</t>
        </is>
      </c>
      <c r="E90" s="20" t="inlineStr">
        <is>
          <t>9~40</t>
        </is>
      </c>
      <c r="F90" s="35" t="inlineStr">
        <is>
          <t>閃避、急救、醫學、藥學、動物學、自然學、會計、動物馴養</t>
        </is>
      </c>
      <c r="H90" s="40" t="n">
        <v>86</v>
      </c>
      <c r="I90" s="40" t="inlineStr"/>
      <c r="J90" s="25" t="inlineStr">
        <is>
          <t>路易斯式輕機槍</t>
        </is>
      </c>
      <c r="K90" s="40" t="inlineStr">
        <is>
          <t>機槍</t>
        </is>
      </c>
      <c r="L90" s="24" t="inlineStr">
        <is>
          <t>2D6+4</t>
        </is>
      </c>
      <c r="M90" s="24" t="inlineStr">
        <is>
          <t>√</t>
        </is>
      </c>
      <c r="N90" s="40" t="inlineStr">
        <is>
          <t>110.0</t>
        </is>
      </c>
      <c r="O90" s="40" t="inlineStr"/>
      <c r="P90" s="40" t="inlineStr"/>
      <c r="Q90" s="23" t="inlineStr">
        <is>
          <t>96.0</t>
        </is>
      </c>
    </row>
    <row r="91" ht="19" customHeight="1">
      <c r="A91" s="15" t="n">
        <v>87</v>
      </c>
      <c r="B91" s="15" t="inlineStr">
        <is>
          <t>上班族、服務業</t>
        </is>
      </c>
      <c r="C91" s="10" t="inlineStr">
        <is>
          <t>店主</t>
        </is>
      </c>
      <c r="D91" s="24" t="inlineStr">
        <is>
          <t>EDU+(DEXorAPP)</t>
        </is>
      </c>
      <c r="E91" s="12" t="inlineStr">
        <is>
          <t>20~40</t>
        </is>
      </c>
      <c r="F91" s="16" t="inlineStr">
        <is>
          <t>四選二：魅惑/恐嚇/說服/話術、心理學、會計、電器維修、機械維修、偵察、聆聽</t>
        </is>
      </c>
      <c r="H91" s="15" t="n">
        <v>87</v>
      </c>
      <c r="I91" s="15" t="inlineStr"/>
      <c r="J91" s="10" t="inlineStr">
        <is>
          <t>GE M134式7.62mm速射機槍</t>
        </is>
      </c>
      <c r="K91" s="15" t="inlineStr">
        <is>
          <t>機槍</t>
        </is>
      </c>
      <c r="L91" s="24" t="inlineStr">
        <is>
          <t>2D6+4</t>
        </is>
      </c>
      <c r="M91" s="24" t="inlineStr">
        <is>
          <t>√</t>
        </is>
      </c>
      <c r="N91" s="15" t="inlineStr">
        <is>
          <t>200.0</t>
        </is>
      </c>
      <c r="O91" s="15" t="inlineStr"/>
      <c r="P91" s="15" t="inlineStr"/>
      <c r="Q91" s="23" t="inlineStr">
        <is>
          <t>98.0</t>
        </is>
      </c>
    </row>
    <row r="92" ht="19" customHeight="1">
      <c r="A92" s="40" t="n">
        <v>88</v>
      </c>
      <c r="B92" s="40" t="inlineStr">
        <is>
          <t>上班族、服務業</t>
        </is>
      </c>
      <c r="C92" s="25" t="inlineStr">
        <is>
          <t>服務生</t>
        </is>
      </c>
      <c r="D92" s="24" t="inlineStr">
        <is>
          <t>EDU+(DEXorAPP)</t>
        </is>
      </c>
      <c r="E92" s="20" t="inlineStr">
        <is>
          <t>9~20</t>
        </is>
      </c>
      <c r="F92" s="35" t="inlineStr">
        <is>
          <t>四選二：魅惑/恐嚇/說服/話術、心理學、閃避、會計、聆聽、美術工藝×1、個人專長×1</t>
        </is>
      </c>
      <c r="H92" s="40" t="n">
        <v>88</v>
      </c>
      <c r="I92" s="40" t="inlineStr"/>
      <c r="J92" s="25" t="inlineStr">
        <is>
          <t>FNMinimi5.56mm輕機槍</t>
        </is>
      </c>
      <c r="K92" s="40" t="inlineStr">
        <is>
          <t>機槍</t>
        </is>
      </c>
      <c r="L92" s="24" t="inlineStr">
        <is>
          <t>2D6</t>
        </is>
      </c>
      <c r="M92" s="24" t="inlineStr">
        <is>
          <t>√</t>
        </is>
      </c>
      <c r="N92" s="40" t="inlineStr">
        <is>
          <t>110.0</t>
        </is>
      </c>
      <c r="O92" s="40" t="inlineStr"/>
      <c r="P92" s="40" t="inlineStr"/>
      <c r="Q92" s="23" t="inlineStr">
        <is>
          <t>99.0</t>
        </is>
      </c>
    </row>
    <row r="93" ht="19" customHeight="1">
      <c r="A93" s="15" t="n">
        <v>89</v>
      </c>
      <c r="B93" s="15" t="inlineStr">
        <is>
          <t>上班族、服務業</t>
        </is>
      </c>
      <c r="C93" s="10" t="inlineStr">
        <is>
          <t>酒保</t>
        </is>
      </c>
      <c r="D93" s="24" t="inlineStr">
        <is>
          <t>EDU+APP</t>
        </is>
      </c>
      <c r="E93" s="12" t="inlineStr">
        <is>
          <t>8~25</t>
        </is>
      </c>
      <c r="F93" s="16" t="inlineStr">
        <is>
          <t>四選二：魅惑/恐嚇/說服/話術、心理學、會計、戰鬥×1、偵察、聆聽、個人專長×1</t>
        </is>
      </c>
      <c r="H93" s="15" t="n">
        <v>89</v>
      </c>
      <c r="I93" s="15" t="inlineStr"/>
      <c r="J93" s="10" t="inlineStr">
        <is>
          <t>維克斯MK1式機槍</t>
        </is>
      </c>
      <c r="K93" s="15" t="inlineStr">
        <is>
          <t>機槍</t>
        </is>
      </c>
      <c r="L93" s="24" t="inlineStr">
        <is>
          <t>2D6+4</t>
        </is>
      </c>
      <c r="M93" s="24" t="inlineStr">
        <is>
          <t>√</t>
        </is>
      </c>
      <c r="N93" s="15" t="inlineStr">
        <is>
          <t>110.0</t>
        </is>
      </c>
      <c r="O93" s="15" t="inlineStr"/>
      <c r="P93" s="15" t="inlineStr"/>
      <c r="Q93" s="23" t="inlineStr">
        <is>
          <t>99.0</t>
        </is>
      </c>
    </row>
    <row r="94" ht="19" customHeight="1">
      <c r="A94" s="40" t="n">
        <v>90</v>
      </c>
      <c r="B94" s="40" t="inlineStr">
        <is>
          <t>上班族、服務業</t>
        </is>
      </c>
      <c r="C94" s="25" t="inlineStr">
        <is>
          <t>廚師</t>
        </is>
      </c>
      <c r="D94" s="24" t="inlineStr">
        <is>
          <t>EDU+STR</t>
        </is>
      </c>
      <c r="E94" s="20" t="inlineStr">
        <is>
          <t>10~40</t>
        </is>
      </c>
      <c r="F94" s="35" t="inlineStr">
        <is>
          <t>魅惑/恐嚇/說服/話術、其它科學(營養學)、自然學、估價、偵察、美術工藝(料理)、個人專長x2</t>
        </is>
      </c>
      <c r="H94" s="40" t="n">
        <v>90</v>
      </c>
      <c r="I94" s="40" t="inlineStr"/>
      <c r="J94" s="25" t="inlineStr">
        <is>
          <t>燃燒瓶</t>
        </is>
      </c>
      <c r="K94" s="40" t="inlineStr">
        <is>
          <t>投擲</t>
        </is>
      </c>
      <c r="L94" s="24" t="inlineStr">
        <is>
          <t>2D6+燃燒</t>
        </is>
      </c>
      <c r="M94" s="24" t="inlineStr">
        <is>
          <t>√</t>
        </is>
      </c>
      <c r="N94" s="40" t="inlineStr">
        <is>
          <t>STR碼</t>
        </is>
      </c>
      <c r="O94" s="40" t="inlineStr"/>
      <c r="P94" s="40" t="inlineStr"/>
      <c r="Q94" s="23" t="inlineStr">
        <is>
          <t>95.0</t>
        </is>
      </c>
    </row>
    <row r="95" ht="19" customHeight="1">
      <c r="A95" s="15" t="n">
        <v>91</v>
      </c>
      <c r="B95" s="15" t="inlineStr">
        <is>
          <t>上班族、服務業</t>
        </is>
      </c>
      <c r="C95" s="10" t="inlineStr">
        <is>
          <t>銷售員</t>
        </is>
      </c>
      <c r="D95" s="24" t="inlineStr">
        <is>
          <t>EDU+APP</t>
        </is>
      </c>
      <c r="E95" s="12" t="inlineStr">
        <is>
          <t>9~40</t>
        </is>
      </c>
      <c r="F95" s="16" t="inlineStr">
        <is>
          <t>四選二：魅惑/恐嚇/說服/話術、心理學、駕駛(車類)、巧手/隱密行動、會計、聆聽、個人專長×1</t>
        </is>
      </c>
      <c r="H95" s="15" t="n">
        <v>91</v>
      </c>
      <c r="I95" s="15" t="inlineStr"/>
      <c r="J95" s="10" t="inlineStr">
        <is>
          <t>土制炸藥</t>
        </is>
      </c>
      <c r="K95" s="15" t="inlineStr">
        <is>
          <t>投擲</t>
        </is>
      </c>
      <c r="L95" s="24" t="inlineStr">
        <is>
          <t>4D10/3碼</t>
        </is>
      </c>
      <c r="M95" s="24" t="inlineStr">
        <is>
          <t>√</t>
        </is>
      </c>
      <c r="N95" s="15" t="inlineStr">
        <is>
          <t>STR步</t>
        </is>
      </c>
      <c r="O95" s="15" t="inlineStr"/>
      <c r="P95" s="15" t="inlineStr"/>
      <c r="Q95" s="23" t="inlineStr">
        <is>
          <t>99.0</t>
        </is>
      </c>
    </row>
    <row r="96" ht="19" customHeight="1">
      <c r="A96" s="40" t="n">
        <v>92</v>
      </c>
      <c r="B96" s="40" t="inlineStr">
        <is>
          <t>上班族、服務業</t>
        </is>
      </c>
      <c r="C96" s="25" t="inlineStr">
        <is>
          <t>百貨公司櫃姐</t>
        </is>
      </c>
      <c r="D96" s="24" t="inlineStr">
        <is>
          <t>EDU+APP</t>
        </is>
      </c>
      <c r="E96" s="20" t="inlineStr">
        <is>
          <t>10~50</t>
        </is>
      </c>
      <c r="F96" s="35" t="inlineStr">
        <is>
          <t>四選二：魅惑/恐嚇/說服/話術、心理學、會計、喬裝、偵察、聆聽、個人專長×1</t>
        </is>
      </c>
      <c r="H96" s="40" t="n">
        <v>92</v>
      </c>
      <c r="I96" s="40" t="inlineStr"/>
      <c r="J96" s="25" t="inlineStr">
        <is>
          <t>手榴彈*</t>
        </is>
      </c>
      <c r="K96" s="40" t="inlineStr">
        <is>
          <t>投擲</t>
        </is>
      </c>
      <c r="L96" s="24" t="inlineStr">
        <is>
          <t>4D10/3碼</t>
        </is>
      </c>
      <c r="M96" s="24" t="inlineStr">
        <is>
          <t>√</t>
        </is>
      </c>
      <c r="N96" s="40" t="inlineStr">
        <is>
          <t>STR步</t>
        </is>
      </c>
      <c r="O96" s="40" t="inlineStr"/>
      <c r="P96" s="40" t="inlineStr"/>
      <c r="Q96" s="23" t="inlineStr">
        <is>
          <t>99.0</t>
        </is>
      </c>
    </row>
    <row r="97" ht="19" customHeight="1">
      <c r="A97" s="15" t="n">
        <v>93</v>
      </c>
      <c r="B97" s="15" t="inlineStr">
        <is>
          <t>上班族、服務業</t>
        </is>
      </c>
      <c r="C97" s="10" t="inlineStr">
        <is>
          <t>殯葬業者</t>
        </is>
      </c>
      <c r="D97" s="24" t="inlineStr">
        <is>
          <t>EDU</t>
        </is>
      </c>
      <c r="E97" s="12" t="inlineStr">
        <is>
          <t>20~40</t>
        </is>
      </c>
      <c r="F97" s="16" t="inlineStr">
        <is>
          <t>魅惑/恐嚇/說服/話術、心理學、駕駛(車類)、化學、生物學、神祕學、歷史、會計</t>
        </is>
      </c>
      <c r="H97" s="15" t="n">
        <v>93</v>
      </c>
      <c r="I97" s="15" t="inlineStr"/>
      <c r="J97" s="10" t="inlineStr">
        <is>
          <t>雷管</t>
        </is>
      </c>
      <c r="K97" s="15" t="inlineStr">
        <is>
          <t>電器維修</t>
        </is>
      </c>
      <c r="L97" s="24" t="inlineStr">
        <is>
          <t>2D10/1碼</t>
        </is>
      </c>
      <c r="M97" s="24" t="inlineStr">
        <is>
          <t>√</t>
        </is>
      </c>
      <c r="N97" s="15" t="inlineStr">
        <is>
          <t>N/A</t>
        </is>
      </c>
      <c r="O97" s="15" t="inlineStr"/>
      <c r="P97" s="15" t="inlineStr"/>
      <c r="Q97" s="23" t="inlineStr">
        <is>
          <t>100.0</t>
        </is>
      </c>
    </row>
    <row r="98" ht="19" customHeight="1">
      <c r="A98" s="40" t="n">
        <v>94</v>
      </c>
      <c r="B98" s="40" t="inlineStr">
        <is>
          <t>上班族、服務業</t>
        </is>
      </c>
      <c r="C98" s="25" t="inlineStr">
        <is>
          <t>徵信社調查員</t>
        </is>
      </c>
      <c r="D98" s="24" t="inlineStr">
        <is>
          <t>EDU+(STRorDEX)</t>
        </is>
      </c>
      <c r="E98" s="20" t="inlineStr">
        <is>
          <t>20~45</t>
        </is>
      </c>
      <c r="F98" s="35" t="inlineStr">
        <is>
          <t>魅惑/恐嚇/說服/話術、心理學、隱密行動、戰鬥×1、槍枝×1、法律、圖書館使用、追蹤</t>
        </is>
      </c>
      <c r="H98" s="40" t="n">
        <v>94</v>
      </c>
      <c r="I98" s="40" t="inlineStr"/>
      <c r="J98" s="25" t="inlineStr">
        <is>
          <t>信號槍</t>
        </is>
      </c>
      <c r="K98" s="40" t="inlineStr">
        <is>
          <t>手槍</t>
        </is>
      </c>
      <c r="L98" s="24" t="inlineStr">
        <is>
          <t>1D10+1D3+燃燒</t>
        </is>
      </c>
      <c r="M98" s="24" t="inlineStr">
        <is>
          <t>√</t>
        </is>
      </c>
      <c r="N98" s="40" t="inlineStr">
        <is>
          <t>10.0</t>
        </is>
      </c>
      <c r="O98" s="40" t="inlineStr"/>
      <c r="P98" s="40" t="inlineStr"/>
      <c r="Q98" s="23" t="inlineStr">
        <is>
          <t>100.0</t>
        </is>
      </c>
    </row>
    <row r="99" ht="19" customHeight="1">
      <c r="A99" s="15" t="n">
        <v>95</v>
      </c>
      <c r="B99" s="15" t="inlineStr">
        <is>
          <t>特殊工作</t>
        </is>
      </c>
      <c r="C99" s="10" t="inlineStr">
        <is>
          <t>私家偵探</t>
        </is>
      </c>
      <c r="D99" s="24" t="inlineStr">
        <is>
          <t>EDU+(STRorDEX)</t>
        </is>
      </c>
      <c r="E99" s="12" t="inlineStr">
        <is>
          <t>9~30</t>
        </is>
      </c>
      <c r="F99" s="16" t="inlineStr">
        <is>
          <t>魅惑/恐嚇/說服/話術、心理學、法律、喬裝、偵察、圖書館使用、攝影、個人專長×1</t>
        </is>
      </c>
      <c r="H99" s="15" t="n">
        <v>95</v>
      </c>
      <c r="I99" s="15" t="inlineStr"/>
      <c r="J99" s="10" t="inlineStr">
        <is>
          <t>M79榴彈發射器</t>
        </is>
      </c>
      <c r="K99" s="15" t="inlineStr">
        <is>
          <t>重武器</t>
        </is>
      </c>
      <c r="L99" s="24" t="inlineStr">
        <is>
          <t>3D10/2碼</t>
        </is>
      </c>
      <c r="M99" s="24" t="inlineStr">
        <is>
          <t>√</t>
        </is>
      </c>
      <c r="N99" s="15" t="inlineStr">
        <is>
          <t>20.0</t>
        </is>
      </c>
      <c r="O99" s="15" t="inlineStr"/>
      <c r="P99" s="15" t="inlineStr"/>
      <c r="Q99" s="23" t="inlineStr">
        <is>
          <t>99.0</t>
        </is>
      </c>
    </row>
    <row r="100" ht="19" customHeight="1">
      <c r="A100" s="40" t="n">
        <v>96</v>
      </c>
      <c r="B100" s="40" t="inlineStr">
        <is>
          <t>特殊工作</t>
        </is>
      </c>
      <c r="C100" s="25" t="inlineStr">
        <is>
          <t>賞金獵人</t>
        </is>
      </c>
      <c r="D100" s="24" t="inlineStr">
        <is>
          <t>EDU+(STRorDEX)</t>
        </is>
      </c>
      <c r="E100" s="20" t="inlineStr">
        <is>
          <t>9~30</t>
        </is>
      </c>
      <c r="F100" s="35" t="inlineStr">
        <is>
          <t>魅惑/恐嚇/說服/話術、心理學、駕駛(車類)、隱密行動、戰鬥×1/槍枝×1、電子學/電器維修、法律、追蹤</t>
        </is>
      </c>
      <c r="H100" s="40" t="n">
        <v>96</v>
      </c>
      <c r="I100" s="40" t="inlineStr"/>
      <c r="J100" s="25" t="inlineStr">
        <is>
          <t>輕型反坦克武器*</t>
        </is>
      </c>
      <c r="K100" s="40" t="inlineStr">
        <is>
          <t>重武器</t>
        </is>
      </c>
      <c r="L100" s="24" t="inlineStr">
        <is>
          <t>8D10/1碼</t>
        </is>
      </c>
      <c r="M100" s="24" t="inlineStr">
        <is>
          <t>√</t>
        </is>
      </c>
      <c r="N100" s="40" t="inlineStr">
        <is>
          <t>150碼</t>
        </is>
      </c>
      <c r="O100" s="40" t="inlineStr"/>
      <c r="P100" s="40" t="inlineStr"/>
      <c r="Q100" s="23" t="inlineStr">
        <is>
          <t>98.0</t>
        </is>
      </c>
    </row>
    <row r="101" ht="19" customHeight="1">
      <c r="A101" s="15" t="n">
        <v>97</v>
      </c>
      <c r="B101" s="15" t="inlineStr">
        <is>
          <t>特殊工作</t>
        </is>
      </c>
      <c r="C101" s="10" t="inlineStr">
        <is>
          <t>牛仔</t>
        </is>
      </c>
      <c r="D101" s="24" t="inlineStr">
        <is>
          <t>EDU+(STRorDEX)</t>
        </is>
      </c>
      <c r="E101" s="12" t="inlineStr">
        <is>
          <t>9~20</t>
        </is>
      </c>
      <c r="F101" s="16" t="inlineStr">
        <is>
          <t>閃避、跳躍、騎術、急救/自然學、生存(任意)、投擲、戰鬥×1/槍枝×1、追蹤</t>
        </is>
      </c>
      <c r="H101" s="15" t="n">
        <v>97</v>
      </c>
      <c r="I101" s="15" t="inlineStr"/>
      <c r="J101" s="10" t="inlineStr">
        <is>
          <t>火焰噴射器</t>
        </is>
      </c>
      <c r="K101" s="15" t="inlineStr">
        <is>
          <t>火焰噴射器</t>
        </is>
      </c>
      <c r="L101" s="24" t="inlineStr">
        <is>
          <t>2D6+燃燒</t>
        </is>
      </c>
      <c r="M101" s="24" t="inlineStr">
        <is>
          <t>√</t>
        </is>
      </c>
      <c r="N101" s="15" t="inlineStr">
        <is>
          <t>25碼</t>
        </is>
      </c>
      <c r="O101" s="15" t="inlineStr"/>
      <c r="P101" s="15" t="inlineStr"/>
      <c r="Q101" s="23" t="inlineStr">
        <is>
          <t>93.0</t>
        </is>
      </c>
    </row>
    <row r="102" ht="19" customHeight="1">
      <c r="A102" s="40" t="n">
        <v>98</v>
      </c>
      <c r="B102" s="40" t="inlineStr">
        <is>
          <t>特殊工作</t>
        </is>
      </c>
      <c r="C102" s="25" t="inlineStr">
        <is>
          <t>解除洗腦專家(現代)</t>
        </is>
      </c>
      <c r="D102" s="24" t="inlineStr">
        <is>
          <t>EDU</t>
        </is>
      </c>
      <c r="E102" s="20" t="inlineStr">
        <is>
          <t>20~50</t>
        </is>
      </c>
      <c r="F102" s="35" t="inlineStr">
        <is>
          <t>魅惑/恐嚇/說服/話術/催眠、心理學、駕駛(車類)、隱密行動、戰鬥×1/槍枝×1、神祕學、歷史</t>
        </is>
      </c>
      <c r="H102" s="40" t="n">
        <v>98</v>
      </c>
      <c r="I102" s="40" t="inlineStr"/>
      <c r="J102" s="25" t="inlineStr">
        <is>
          <t>81mm迫擊炮</t>
        </is>
      </c>
      <c r="K102" s="40" t="inlineStr">
        <is>
          <t>炮術</t>
        </is>
      </c>
      <c r="L102" s="24" t="inlineStr">
        <is>
          <t>6D10/6碼</t>
        </is>
      </c>
      <c r="M102" s="24" t="inlineStr">
        <is>
          <t>√</t>
        </is>
      </c>
      <c r="N102" s="40" t="inlineStr">
        <is>
          <t>500碼</t>
        </is>
      </c>
      <c r="O102" s="40" t="inlineStr"/>
      <c r="P102" s="40" t="inlineStr"/>
      <c r="Q102" s="23" t="inlineStr">
        <is>
          <t>100.0</t>
        </is>
      </c>
    </row>
    <row r="103" ht="19" customHeight="1">
      <c r="A103" s="15" t="n">
        <v>99</v>
      </c>
      <c r="B103" s="15" t="inlineStr">
        <is>
          <t>特殊工作</t>
        </is>
      </c>
      <c r="C103" s="10" t="inlineStr">
        <is>
          <t>占卜師</t>
        </is>
      </c>
      <c r="D103" s="24" t="inlineStr">
        <is>
          <t>EDU+POW</t>
        </is>
      </c>
      <c r="E103" s="12" t="inlineStr">
        <is>
          <t>0~70</t>
        </is>
      </c>
      <c r="F103" s="16" t="inlineStr">
        <is>
          <t>說服、話術、心理學、人類學/特殊學問(占卜)、神秘學、偵察、演技、個人專長×1</t>
        </is>
      </c>
      <c r="H103" s="15" t="n">
        <v>99</v>
      </c>
      <c r="I103" s="15" t="inlineStr"/>
      <c r="J103" s="10" t="inlineStr">
        <is>
          <t>75mm野戰炮</t>
        </is>
      </c>
      <c r="K103" s="15" t="inlineStr">
        <is>
          <t>炮術</t>
        </is>
      </c>
      <c r="L103" s="24" t="inlineStr">
        <is>
          <t>10D10/2碼</t>
        </is>
      </c>
      <c r="M103" s="24" t="inlineStr">
        <is>
          <t>√</t>
        </is>
      </c>
      <c r="N103" s="15" t="inlineStr">
        <is>
          <t>500碼</t>
        </is>
      </c>
      <c r="O103" s="15" t="inlineStr"/>
      <c r="P103" s="15" t="inlineStr"/>
      <c r="Q103" s="23" t="inlineStr">
        <is>
          <t>99.0</t>
        </is>
      </c>
    </row>
    <row r="104" ht="19" customHeight="1">
      <c r="A104" s="40" t="n">
        <v>100</v>
      </c>
      <c r="B104" s="40" t="inlineStr">
        <is>
          <t>特殊工作</t>
        </is>
      </c>
      <c r="C104" s="25" t="inlineStr">
        <is>
          <t>動物訓練師</t>
        </is>
      </c>
      <c r="D104" s="24" t="inlineStr">
        <is>
          <t>EDU+(APPorPOW)</t>
        </is>
      </c>
      <c r="E104" s="20" t="inlineStr">
        <is>
          <t>10~40</t>
        </is>
      </c>
      <c r="F104" s="35" t="inlineStr">
        <is>
          <t>心理學、跳躍、隱密行動、動物學、自然學、聆聽、追蹤、動物馴養/個人專長×1</t>
        </is>
      </c>
      <c r="H104" s="40" t="n">
        <v>100</v>
      </c>
      <c r="I104" s="40" t="inlineStr"/>
      <c r="J104" s="25" t="inlineStr">
        <is>
          <t>120mm坦克炮(穩定)</t>
        </is>
      </c>
      <c r="K104" s="40" t="inlineStr">
        <is>
          <t>炮術</t>
        </is>
      </c>
      <c r="L104" s="24" t="inlineStr">
        <is>
          <t>15D10/4碼</t>
        </is>
      </c>
      <c r="M104" s="24" t="inlineStr">
        <is>
          <t>√</t>
        </is>
      </c>
      <c r="N104" s="40" t="inlineStr">
        <is>
          <t>2000碼</t>
        </is>
      </c>
      <c r="O104" s="40" t="inlineStr"/>
      <c r="P104" s="40" t="inlineStr"/>
      <c r="Q104" s="23" t="inlineStr">
        <is>
          <t>100.0</t>
        </is>
      </c>
    </row>
    <row r="105" ht="19" customHeight="1">
      <c r="A105" s="15" t="n">
        <v>101</v>
      </c>
      <c r="B105" s="15" t="inlineStr">
        <is>
          <t>特殊工作</t>
        </is>
      </c>
      <c r="C105" s="10" t="inlineStr">
        <is>
          <t>米斯卡塔尼克大學調查員</t>
        </is>
      </c>
      <c r="D105" s="24" t="inlineStr">
        <is>
          <t>EDU</t>
        </is>
      </c>
      <c r="E105" s="12" t="inlineStr">
        <is>
          <t>20~70</t>
        </is>
      </c>
      <c r="F105" s="16" t="inlineStr">
        <is>
          <t>四選二：魅惑/恐嚇/說服/話術、神秘學/特殊學問(傳說)、歷史、偵察、圖書館使用、以下選二：醫學/人類學/考古學/生物學</t>
        </is>
      </c>
      <c r="H105" s="15" t="n">
        <v>101</v>
      </c>
      <c r="I105" s="15" t="inlineStr"/>
      <c r="J105" s="10" t="inlineStr">
        <is>
          <t>5英寸艦載炮(穩定)</t>
        </is>
      </c>
      <c r="K105" s="15" t="inlineStr">
        <is>
          <t>炮術</t>
        </is>
      </c>
      <c r="L105" s="24" t="inlineStr">
        <is>
          <t>12D10/4碼</t>
        </is>
      </c>
      <c r="M105" s="24" t="inlineStr">
        <is>
          <t>√</t>
        </is>
      </c>
      <c r="N105" s="15" t="inlineStr">
        <is>
          <t>3000碼</t>
        </is>
      </c>
      <c r="O105" s="15" t="inlineStr"/>
      <c r="P105" s="15" t="inlineStr"/>
      <c r="Q105" s="23" t="inlineStr">
        <is>
          <t>98.0</t>
        </is>
      </c>
    </row>
    <row r="106" ht="19" customHeight="1">
      <c r="A106" s="40" t="n">
        <v>102</v>
      </c>
      <c r="B106" s="40" t="inlineStr">
        <is>
          <t>宗教狂熱</t>
        </is>
      </c>
      <c r="C106" s="25" t="inlineStr">
        <is>
          <t>狂熱者</t>
        </is>
      </c>
      <c r="D106" s="24" t="inlineStr">
        <is>
          <t>EDU+(APPorPOW)</t>
        </is>
      </c>
      <c r="E106" s="20" t="inlineStr">
        <is>
          <t>0~30</t>
        </is>
      </c>
      <c r="F106" s="35" t="inlineStr">
        <is>
          <t>四選二：魅惑/恐嚇/說服/話術、心理學、隱密行動、歷史、個人專長×3</t>
        </is>
      </c>
      <c r="H106" s="40" t="n">
        <v>102</v>
      </c>
      <c r="I106" s="40" t="inlineStr"/>
      <c r="J106" s="25" t="inlineStr">
        <is>
          <t>管狀炸彈</t>
        </is>
      </c>
      <c r="K106" s="40" t="inlineStr">
        <is>
          <t>爆破</t>
        </is>
      </c>
      <c r="L106" s="24" t="inlineStr">
        <is>
          <t>1D10/3碼</t>
        </is>
      </c>
      <c r="M106" s="24" t="inlineStr">
        <is>
          <t>√</t>
        </is>
      </c>
      <c r="N106" s="40" t="inlineStr">
        <is>
          <t>佈置</t>
        </is>
      </c>
      <c r="O106" s="40" t="inlineStr"/>
      <c r="P106" s="40" t="inlineStr"/>
      <c r="Q106" s="23" t="inlineStr">
        <is>
          <t>95.0</t>
        </is>
      </c>
    </row>
    <row r="107" ht="19" customHeight="1">
      <c r="A107" s="15" t="n">
        <v>103</v>
      </c>
      <c r="B107" s="15" t="inlineStr">
        <is>
          <t>宗教狂熱</t>
        </is>
      </c>
      <c r="C107" s="10" t="inlineStr">
        <is>
          <t>新興教團領袖</t>
        </is>
      </c>
      <c r="D107" s="24" t="inlineStr">
        <is>
          <t>EDU+APP</t>
        </is>
      </c>
      <c r="E107" s="12" t="inlineStr">
        <is>
          <t>30~60</t>
        </is>
      </c>
      <c r="F107" s="16" t="inlineStr">
        <is>
          <t>四選二：魅惑/恐嚇/說服/話術、心理學、神祕學、會計、偵察、個人專長×2</t>
        </is>
      </c>
      <c r="H107" s="15" t="n">
        <v>103</v>
      </c>
      <c r="I107" s="15" t="inlineStr"/>
      <c r="J107" s="10" t="inlineStr">
        <is>
          <t>塑膠炸彈(C4) 100克</t>
        </is>
      </c>
      <c r="K107" s="15" t="inlineStr">
        <is>
          <t>爆破</t>
        </is>
      </c>
      <c r="L107" s="24" t="inlineStr">
        <is>
          <t>6D10/3碼</t>
        </is>
      </c>
      <c r="M107" s="24" t="inlineStr">
        <is>
          <t>√</t>
        </is>
      </c>
      <c r="N107" s="15" t="inlineStr">
        <is>
          <t>佈置</t>
        </is>
      </c>
      <c r="O107" s="15" t="inlineStr"/>
      <c r="P107" s="15" t="inlineStr"/>
      <c r="Q107" s="23" t="inlineStr">
        <is>
          <t>99.0</t>
        </is>
      </c>
    </row>
    <row r="108" ht="19" customHeight="1">
      <c r="A108" s="40" t="n">
        <v>104</v>
      </c>
      <c r="B108" s="40" t="inlineStr">
        <is>
          <t>宗教狂熱</t>
        </is>
      </c>
      <c r="C108" s="25" t="inlineStr">
        <is>
          <t>秘密結社成員</t>
        </is>
      </c>
      <c r="D108" s="24" t="inlineStr">
        <is>
          <t>EDU+(DEXorAPP)</t>
        </is>
      </c>
      <c r="E108" s="20" t="inlineStr">
        <is>
          <t>0~30</t>
        </is>
      </c>
      <c r="F108" s="35" t="inlineStr">
        <is>
          <t>隱密行動、神秘學、喬裝、偵察、個人專長x2、四選二：魅惑/話術/心理學</t>
        </is>
      </c>
      <c r="H108" s="40" t="n">
        <v>104</v>
      </c>
      <c r="I108" s="40" t="inlineStr"/>
      <c r="J108" s="25" t="inlineStr">
        <is>
          <t>反步兵地雷</t>
        </is>
      </c>
      <c r="K108" s="40" t="inlineStr">
        <is>
          <t>爆破</t>
        </is>
      </c>
      <c r="L108" s="24" t="inlineStr">
        <is>
          <t>4D10/5碼</t>
        </is>
      </c>
      <c r="M108" s="24" t="inlineStr">
        <is>
          <t>√</t>
        </is>
      </c>
      <c r="N108" s="40" t="inlineStr">
        <is>
          <t>佈置</t>
        </is>
      </c>
      <c r="O108" s="40" t="inlineStr"/>
      <c r="P108" s="40" t="inlineStr"/>
      <c r="Q108" s="23" t="inlineStr">
        <is>
          <t>99.0</t>
        </is>
      </c>
    </row>
    <row r="109" ht="19" customHeight="1">
      <c r="A109" s="15" t="n">
        <v>105</v>
      </c>
      <c r="B109" s="15" t="inlineStr">
        <is>
          <t>宗教狂熱</t>
        </is>
      </c>
      <c r="C109" s="10" t="inlineStr">
        <is>
          <t>神祕學家</t>
        </is>
      </c>
      <c r="D109" s="24" t="inlineStr">
        <is>
          <t>EDU</t>
        </is>
      </c>
      <c r="E109" s="12" t="inlineStr">
        <is>
          <t>9~65</t>
        </is>
      </c>
      <c r="F109" s="16" t="inlineStr">
        <is>
          <t>魅惑/恐嚇/說服/話術、他國語言×1、人類學、天文學、神祕學、歷史、圖書館使用、個人專長×1</t>
        </is>
      </c>
      <c r="H109" s="15" t="n">
        <v>105</v>
      </c>
      <c r="I109" s="15" t="inlineStr"/>
      <c r="J109" s="10" t="inlineStr">
        <is>
          <t>闊劍地雷</t>
        </is>
      </c>
      <c r="K109" s="15" t="inlineStr">
        <is>
          <t>爆破</t>
        </is>
      </c>
      <c r="L109" s="24" t="inlineStr">
        <is>
          <t>6D6/20碼</t>
        </is>
      </c>
      <c r="M109" s="24" t="inlineStr">
        <is>
          <t>√</t>
        </is>
      </c>
      <c r="N109" s="15" t="inlineStr">
        <is>
          <t>佈置</t>
        </is>
      </c>
      <c r="O109" s="15" t="inlineStr"/>
      <c r="P109" s="15" t="inlineStr"/>
      <c r="Q109" s="23" t="inlineStr">
        <is>
          <t>99.0</t>
        </is>
      </c>
    </row>
    <row r="110" ht="19" customHeight="1">
      <c r="A110" s="40" t="n">
        <v>106</v>
      </c>
      <c r="B110" s="40" t="inlineStr">
        <is>
          <t>宗教狂熱</t>
        </is>
      </c>
      <c r="C110" s="25" t="inlineStr">
        <is>
          <t>傳教士</t>
        </is>
      </c>
      <c r="D110" s="24" t="inlineStr">
        <is>
          <t>EDU+APP</t>
        </is>
      </c>
      <c r="E110" s="20" t="inlineStr">
        <is>
          <t>0~30</t>
        </is>
      </c>
      <c r="F110" s="35" t="inlineStr">
        <is>
          <t>魅惑/恐嚇/說服/話術、急救、醫學、自然學、機械維修、美術工藝×1、個人專長×2</t>
        </is>
      </c>
    </row>
    <row r="111" ht="19" customHeight="1">
      <c r="A111" s="15" t="n">
        <v>107</v>
      </c>
      <c r="B111" s="15" t="inlineStr">
        <is>
          <t>宗教狂熱</t>
        </is>
      </c>
      <c r="C111" s="10" t="inlineStr">
        <is>
          <t>神職人員</t>
        </is>
      </c>
      <c r="D111" s="24" t="inlineStr">
        <is>
          <t>EDU</t>
        </is>
      </c>
      <c r="E111" s="12" t="inlineStr">
        <is>
          <t>9~60</t>
        </is>
      </c>
      <c r="F111" s="16" t="inlineStr">
        <is>
          <t>魅惑/恐嚇/說服/話術、心理學、他國語言×1、歷史、會計、圖書館使用、聆聽、個人專長×1</t>
        </is>
      </c>
    </row>
    <row r="112" ht="19" customHeight="1">
      <c r="A112" s="40" t="n">
        <v>108</v>
      </c>
      <c r="B112" s="40" t="inlineStr">
        <is>
          <t>宗教狂熱</t>
        </is>
      </c>
      <c r="C112" s="25" t="inlineStr">
        <is>
          <t>超心理學者</t>
        </is>
      </c>
      <c r="D112" s="24" t="inlineStr">
        <is>
          <t>EDU</t>
        </is>
      </c>
      <c r="E112" s="20" t="inlineStr">
        <is>
          <t>9~30</t>
        </is>
      </c>
      <c r="F112" s="35" t="inlineStr">
        <is>
          <t>心理學、他國語言×1、人類學、神祕學、歷史、圖書館使用、攝影、個人專長×1</t>
        </is>
      </c>
    </row>
    <row r="113" ht="19" customHeight="1">
      <c r="A113" s="15" t="n">
        <v>109</v>
      </c>
      <c r="B113" s="15" t="inlineStr">
        <is>
          <t>宗教狂熱</t>
        </is>
      </c>
      <c r="C113" s="10" t="inlineStr">
        <is>
          <t>部落成員</t>
        </is>
      </c>
      <c r="D113" s="24" t="inlineStr">
        <is>
          <t>EDU+(STRorDEX)</t>
        </is>
      </c>
      <c r="E113" s="12" t="inlineStr">
        <is>
          <t>5~10</t>
        </is>
      </c>
      <c r="F113" s="16" t="inlineStr">
        <is>
          <t>攀爬、游泳、生存(任意)、戰鬥×1、自然學、神祕學、偵察、聆聽</t>
        </is>
      </c>
    </row>
    <row r="114" ht="19" customHeight="1">
      <c r="A114" s="40" t="n">
        <v>110</v>
      </c>
      <c r="B114" s="40" t="inlineStr">
        <is>
          <t>灰黑色地帶</t>
        </is>
      </c>
      <c r="C114" s="25" t="inlineStr">
        <is>
          <t>幫派老大</t>
        </is>
      </c>
      <c r="D114" s="24" t="inlineStr">
        <is>
          <t>EDU+APP</t>
        </is>
      </c>
      <c r="E114" s="20" t="inlineStr">
        <is>
          <t>60~95</t>
        </is>
      </c>
      <c r="F114" s="35" t="inlineStr">
        <is>
          <t>四選二：魅惑/恐嚇/說服/話術、心理學、戰鬥×1、槍枝×1、法律、偵察、聆聽</t>
        </is>
      </c>
    </row>
    <row r="115" ht="19" customHeight="1">
      <c r="A115" s="15" t="n">
        <v>111</v>
      </c>
      <c r="B115" s="15" t="inlineStr">
        <is>
          <t>灰黑色地帶</t>
        </is>
      </c>
      <c r="C115" s="10" t="inlineStr">
        <is>
          <t>幫派成員</t>
        </is>
      </c>
      <c r="D115" s="24" t="inlineStr">
        <is>
          <t>EDU+(STRorDEX)</t>
        </is>
      </c>
      <c r="E115" s="12" t="inlineStr">
        <is>
          <t>9~20</t>
        </is>
      </c>
      <c r="F115" s="16" t="inlineStr">
        <is>
          <t>四選二：魅惑/恐嚇/說服/話術、心理學、駕駛(車類)、戰鬥×1、槍枝×1、個人專長×2</t>
        </is>
      </c>
    </row>
    <row r="116" ht="19" customHeight="1">
      <c r="A116" s="40" t="n">
        <v>112</v>
      </c>
      <c r="B116" s="40" t="inlineStr">
        <is>
          <t>灰黑色地帶</t>
        </is>
      </c>
      <c r="C116" s="25" t="inlineStr">
        <is>
          <t>犯罪者(個人)</t>
        </is>
      </c>
      <c r="D116" s="24" t="inlineStr">
        <is>
          <t>EDU+(DEXorAPP)</t>
        </is>
      </c>
      <c r="E116" s="20" t="inlineStr">
        <is>
          <t>5~65</t>
        </is>
      </c>
      <c r="F116" s="35" t="inlineStr">
        <is>
          <t>魅惑/恐嚇/說服/話術、心理學、鎖匠/機械維修、隱密行動、戰鬥×1/槍枝×1、估價、喬裝/演技、偵察</t>
        </is>
      </c>
    </row>
    <row r="117" ht="19" customHeight="1">
      <c r="A117" s="15" t="n">
        <v>113</v>
      </c>
      <c r="B117" s="15" t="inlineStr">
        <is>
          <t>灰黑色地帶</t>
        </is>
      </c>
      <c r="C117" s="10" t="inlineStr">
        <is>
          <t>專業女犯罪者(非現代)</t>
        </is>
      </c>
      <c r="D117" s="24" t="inlineStr">
        <is>
          <t>EDU+APP</t>
        </is>
      </c>
      <c r="E117" s="12" t="inlineStr">
        <is>
          <t>10~80</t>
        </is>
      </c>
      <c r="F117" s="16" t="inlineStr">
        <is>
          <t>四選二：魅惑/恐嚇/說服/話術、駕駛(車類)、隱密行動、戰鬥×1/槍枝×1、聆聽、美術工藝×1、個人專長×1</t>
        </is>
      </c>
    </row>
    <row r="118" ht="19" customHeight="1">
      <c r="A118" s="40" t="n">
        <v>114</v>
      </c>
      <c r="B118" s="40" t="inlineStr">
        <is>
          <t>灰黑色地帶</t>
        </is>
      </c>
      <c r="C118" s="25" t="inlineStr">
        <is>
          <t>經濟犯罪者</t>
        </is>
      </c>
      <c r="D118" s="24" t="inlineStr">
        <is>
          <t>EDU+APP</t>
        </is>
      </c>
      <c r="E118" s="20" t="inlineStr">
        <is>
          <t>50~99</t>
        </is>
      </c>
      <c r="F118" s="35" t="inlineStr">
        <is>
          <t>四選二：魅惑/恐嚇/說服/話術、心理學、會計、估價、法律、偵察、圖書館使用</t>
        </is>
      </c>
    </row>
    <row r="119" ht="19" customHeight="1">
      <c r="A119" s="15" t="n">
        <v>115</v>
      </c>
      <c r="B119" s="15" t="inlineStr">
        <is>
          <t>灰黑色地帶</t>
        </is>
      </c>
      <c r="C119" s="10" t="inlineStr">
        <is>
          <t>毒梟/惡棍</t>
        </is>
      </c>
      <c r="D119" s="24" t="inlineStr">
        <is>
          <t>EDU+STR</t>
        </is>
      </c>
      <c r="E119" s="12" t="inlineStr">
        <is>
          <t>5~30</t>
        </is>
      </c>
      <c r="F119" s="16" t="inlineStr">
        <is>
          <t>四選二：魅惑/恐嚇/說服/話術、心理學、駕駛(車類)、隱密行動、戰鬥×1、槍枝×1、偵察</t>
        </is>
      </c>
    </row>
    <row r="120" ht="19" customHeight="1">
      <c r="A120" s="40" t="n">
        <v>116</v>
      </c>
      <c r="B120" s="40" t="inlineStr">
        <is>
          <t>灰黑色地帶</t>
        </is>
      </c>
      <c r="C120" s="25" t="inlineStr">
        <is>
          <t>殺手</t>
        </is>
      </c>
      <c r="D120" s="24" t="inlineStr">
        <is>
          <t>EDU+(STRorDEX)</t>
        </is>
      </c>
      <c r="E120" s="20" t="inlineStr">
        <is>
          <t>30~60</t>
        </is>
      </c>
      <c r="F120" s="35" t="inlineStr">
        <is>
          <t>心理學、鎖匠、隱密行動、戰鬥×1、槍枝×1、喬裝、電器維修、機械維修</t>
        </is>
      </c>
    </row>
    <row r="121" ht="19" customHeight="1">
      <c r="A121" s="15" t="n">
        <v>117</v>
      </c>
      <c r="B121" s="15" t="inlineStr">
        <is>
          <t>灰黑色地帶</t>
        </is>
      </c>
      <c r="C121" s="10" t="inlineStr">
        <is>
          <t>駭客</t>
        </is>
      </c>
      <c r="D121" s="24" t="inlineStr">
        <is>
          <t>EDU</t>
        </is>
      </c>
      <c r="E121" s="12" t="inlineStr">
        <is>
          <t>10~70</t>
        </is>
      </c>
      <c r="F121" s="16" t="inlineStr">
        <is>
          <t>魅惑/恐嚇/說服/話術、電子學、電腦使用、電器維修、偵察、圖書館使用、個人專長×2</t>
        </is>
      </c>
    </row>
    <row r="122" ht="19" customHeight="1">
      <c r="A122" s="40" t="n">
        <v>118</v>
      </c>
      <c r="B122" s="40" t="inlineStr">
        <is>
          <t>灰黑色地帶</t>
        </is>
      </c>
      <c r="C122" s="25" t="inlineStr">
        <is>
          <t>銀行搶匪</t>
        </is>
      </c>
      <c r="D122" s="24" t="inlineStr">
        <is>
          <t>EDU+(STRorDEX)</t>
        </is>
      </c>
      <c r="E122" s="20" t="inlineStr">
        <is>
          <t>5~75</t>
        </is>
      </c>
      <c r="F122" s="35" t="inlineStr">
        <is>
          <t>恐嚇、駕駛(車類)、鎖匠、戰鬥×1、槍枝×1、電器維修/機械維修、重機械操作、個人專長×1</t>
        </is>
      </c>
    </row>
    <row r="123" ht="19" customHeight="1">
      <c r="A123" s="15" t="n">
        <v>119</v>
      </c>
      <c r="B123" s="15" t="inlineStr">
        <is>
          <t>灰黑色地帶</t>
        </is>
      </c>
      <c r="C123" s="10" t="inlineStr">
        <is>
          <t>街頭痞子/混混</t>
        </is>
      </c>
      <c r="D123" s="24" t="inlineStr">
        <is>
          <t>EDU+(STRorDEX)</t>
        </is>
      </c>
      <c r="E123" s="12" t="inlineStr">
        <is>
          <t>3~10</t>
        </is>
      </c>
      <c r="F123" s="16" t="inlineStr">
        <is>
          <t>魅惑/恐嚇/說服/話術、攀爬、跳躍、巧手、隱密行動、投擲、戰鬥×1、槍枝×1</t>
        </is>
      </c>
    </row>
    <row r="124" ht="19" customHeight="1">
      <c r="A124" s="40" t="n">
        <v>120</v>
      </c>
      <c r="B124" s="40" t="inlineStr">
        <is>
          <t>灰黑色地帶</t>
        </is>
      </c>
      <c r="C124" s="25" t="inlineStr">
        <is>
          <t>竊賊</t>
        </is>
      </c>
      <c r="D124" s="24" t="inlineStr">
        <is>
          <t>EDU+DEX</t>
        </is>
      </c>
      <c r="E124" s="20" t="inlineStr">
        <is>
          <t>5~40</t>
        </is>
      </c>
      <c r="F124" s="35" t="inlineStr">
        <is>
          <t>攀爬、鎖匠、巧手、隱密行動、估價、電器維修/機械維修、偵察、聆聽</t>
        </is>
      </c>
    </row>
    <row r="125" ht="19" customHeight="1">
      <c r="A125" s="15" t="n">
        <v>121</v>
      </c>
      <c r="B125" s="15" t="inlineStr">
        <is>
          <t>灰黑色地帶</t>
        </is>
      </c>
      <c r="C125" s="10" t="inlineStr">
        <is>
          <t>贓物交易者</t>
        </is>
      </c>
      <c r="D125" s="24" t="inlineStr">
        <is>
          <t>EDU+APP</t>
        </is>
      </c>
      <c r="E125" s="12" t="inlineStr">
        <is>
          <t>20~40</t>
        </is>
      </c>
      <c r="F125" s="16" t="inlineStr">
        <is>
          <t>魅惑/恐嚇/說服/話術、歷史、會計、估價、偵察、圖書館使用、偽造、個人專長×1</t>
        </is>
      </c>
    </row>
    <row r="126" ht="19" customHeight="1">
      <c r="A126" s="40" t="n">
        <v>122</v>
      </c>
      <c r="B126" s="40" t="inlineStr">
        <is>
          <t>灰黑色地帶</t>
        </is>
      </c>
      <c r="C126" s="25" t="inlineStr">
        <is>
          <t>走私進出口商</t>
        </is>
      </c>
      <c r="D126" s="24" t="inlineStr">
        <is>
          <t>EDU+(DEXorAPP)</t>
        </is>
      </c>
      <c r="E126" s="20" t="inlineStr">
        <is>
          <t>20~60</t>
        </is>
      </c>
      <c r="F126" s="35" t="inlineStr">
        <is>
          <t>魅惑/恐嚇/說服/話術、心理學、領航、駕駛(車類/飛機/船)、巧手、槍枝×1、偵察、聆聽</t>
        </is>
      </c>
    </row>
    <row r="127" ht="19" customHeight="1">
      <c r="A127" s="15" t="n">
        <v>123</v>
      </c>
      <c r="B127" s="15" t="inlineStr">
        <is>
          <t>灰黑色地帶</t>
        </is>
      </c>
      <c r="C127" s="10" t="inlineStr">
        <is>
          <t>偽造文書者/偽幣製造者</t>
        </is>
      </c>
      <c r="D127" s="24" t="inlineStr">
        <is>
          <t>EDU</t>
        </is>
      </c>
      <c r="E127" s="12" t="inlineStr">
        <is>
          <t>20~60</t>
        </is>
      </c>
      <c r="F127" s="16" t="inlineStr">
        <is>
          <t>巧手、歷史、會計、估價、偽造、偵察、圖書館使用、個人專長×1</t>
        </is>
      </c>
    </row>
    <row r="128" ht="19" customHeight="1">
      <c r="A128" s="40" t="n">
        <v>124</v>
      </c>
      <c r="B128" s="40" t="inlineStr">
        <is>
          <t>灰黑色地帶</t>
        </is>
      </c>
      <c r="C128" s="25" t="inlineStr">
        <is>
          <t>賭徒</t>
        </is>
      </c>
      <c r="D128" s="24" t="inlineStr">
        <is>
          <t>EDU+(DEXorAPP)</t>
        </is>
      </c>
      <c r="E128" s="20" t="inlineStr">
        <is>
          <t>8~50</t>
        </is>
      </c>
      <c r="F128" s="35" t="inlineStr">
        <is>
          <t>四選二：魅惑/恐嚇/說服/話術、心理學、巧手、會計、偵察、聆聽、演技</t>
        </is>
      </c>
    </row>
    <row r="129" ht="19" customHeight="1">
      <c r="A129" s="15" t="n">
        <v>125</v>
      </c>
      <c r="B129" s="15" t="inlineStr">
        <is>
          <t>灰黑色地帶</t>
        </is>
      </c>
      <c r="C129" s="10" t="inlineStr">
        <is>
          <t>詐欺師</t>
        </is>
      </c>
      <c r="D129" s="24" t="inlineStr">
        <is>
          <t>EDU+APP</t>
        </is>
      </c>
      <c r="E129" s="12" t="inlineStr">
        <is>
          <t>10~65</t>
        </is>
      </c>
      <c r="F129" s="16" t="inlineStr">
        <is>
          <t>四選二：魅惑/恐嚇/說服/話術、心理學、巧手、他國語言×1/法律、估價、聆聽、演技</t>
        </is>
      </c>
    </row>
    <row r="130" ht="19" customHeight="1">
      <c r="A130" s="40" t="n">
        <v>126</v>
      </c>
      <c r="B130" s="40" t="inlineStr">
        <is>
          <t>灰黑色地帶</t>
        </is>
      </c>
      <c r="C130" s="25" t="inlineStr">
        <is>
          <t>間諜</t>
        </is>
      </c>
      <c r="D130" s="24" t="inlineStr">
        <is>
          <t>EDU+(DEXorAPP)</t>
        </is>
      </c>
      <c r="E130" s="20" t="inlineStr">
        <is>
          <t>20~60</t>
        </is>
      </c>
      <c r="F130" s="35" t="inlineStr">
        <is>
          <t>魅惑/恐嚇/說服/話術、心理學、巧手、隱密行動、槍枝×1、他國語言×1、喬裝/演技、聆聽</t>
        </is>
      </c>
    </row>
    <row r="131" ht="19" customHeight="1">
      <c r="A131" s="15" t="n">
        <v>127</v>
      </c>
      <c r="B131" s="15" t="inlineStr">
        <is>
          <t>灰黑色地帶</t>
        </is>
      </c>
      <c r="C131" s="10" t="inlineStr">
        <is>
          <t>性工作者</t>
        </is>
      </c>
      <c r="D131" s="24" t="inlineStr">
        <is>
          <t>EDU+APP</t>
        </is>
      </c>
      <c r="E131" s="12" t="inlineStr">
        <is>
          <t>5~50</t>
        </is>
      </c>
      <c r="F131" s="16" t="inlineStr">
        <is>
          <t>四選二：魅惑/恐嚇/說服/話術、心理學、閃避、巧手、隱密行動、美術工藝×1、個人專長×1</t>
        </is>
      </c>
    </row>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4">
    <mergeCell ref="A3:F3"/>
    <mergeCell ref="A2:Q2"/>
    <mergeCell ref="H3:Q3"/>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2026-10-29T17:18:55Z</dcterms:created>
  <dcterms:modified xmlns:dcterms="http://purl.org/dc/terms/" xmlns:xsi="http://www.w3.org/2001/XMLSchema-instance" xsi:type="dcterms:W3CDTF">2026-10-29T17:18:56Z</dcterms:modified>
</cp:coreProperties>
</file>